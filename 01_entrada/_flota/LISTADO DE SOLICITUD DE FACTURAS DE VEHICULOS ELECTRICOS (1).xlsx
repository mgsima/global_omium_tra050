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ferragud\Desktop\"/>
    </mc:Choice>
  </mc:AlternateContent>
  <xr:revisionPtr revIDLastSave="20" documentId="8_{8A02933E-F0FA-47C9-A044-183451D2F39E}" xr6:coauthVersionLast="47" xr6:coauthVersionMax="47" xr10:uidLastSave="{F3708521-963C-4A47-8F9B-3C64FF18EA01}"/>
  <bookViews>
    <workbookView xWindow="19090" yWindow="-110" windowWidth="19420" windowHeight="10300" xr2:uid="{1E9D6979-DBF0-44E6-8962-86AE630D5FF0}"/>
  </bookViews>
  <sheets>
    <sheet name="RESUMEN ACT" sheetId="2" r:id="rId1"/>
    <sheet name="Hoja1" sheetId="1" r:id="rId2"/>
  </sheets>
  <externalReferences>
    <externalReference r:id="rId3"/>
  </externalReferences>
  <definedNames>
    <definedName name="_xlnm._FilterDatabase" localSheetId="0" hidden="1">'RESUMEN ACT'!$A$2:$J$349</definedName>
    <definedName name="Format">#REF!</definedName>
    <definedName name="Head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9" i="2" l="1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79" i="2"/>
  <c r="I178" i="2"/>
  <c r="I177" i="2"/>
  <c r="I173" i="2"/>
  <c r="I172" i="2"/>
  <c r="I171" i="2"/>
  <c r="I170" i="2"/>
  <c r="I169" i="2"/>
  <c r="I168" i="2"/>
  <c r="I166" i="2"/>
  <c r="I165" i="2"/>
  <c r="I164" i="2"/>
  <c r="I163" i="2"/>
  <c r="I162" i="2"/>
  <c r="I161" i="2"/>
  <c r="I160" i="2"/>
  <c r="I159" i="2"/>
  <c r="I158" i="2"/>
  <c r="I157" i="2"/>
  <c r="I155" i="2"/>
  <c r="I154" i="2"/>
  <c r="I153" i="2"/>
  <c r="I152" i="2"/>
  <c r="I149" i="2"/>
  <c r="I148" i="2"/>
  <c r="I147" i="2"/>
  <c r="I145" i="2"/>
  <c r="I144" i="2"/>
  <c r="I143" i="2"/>
  <c r="I142" i="2"/>
  <c r="I141" i="2"/>
  <c r="I140" i="2"/>
  <c r="I139" i="2"/>
  <c r="I136" i="2"/>
  <c r="I135" i="2"/>
  <c r="I134" i="2"/>
  <c r="I133" i="2"/>
  <c r="I131" i="2"/>
  <c r="I130" i="2"/>
  <c r="I129" i="2"/>
  <c r="I124" i="2"/>
  <c r="I119" i="2"/>
  <c r="I118" i="2"/>
  <c r="I117" i="2"/>
  <c r="I116" i="2"/>
  <c r="I113" i="2"/>
  <c r="I108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3" i="2"/>
  <c r="I72" i="2"/>
  <c r="I71" i="2"/>
  <c r="I69" i="2"/>
  <c r="I68" i="2"/>
  <c r="I67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1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<sst xmlns="http://schemas.openxmlformats.org/spreadsheetml/2006/main" count="1494" uniqueCount="335">
  <si>
    <t>SUSTITUCIÓN A VEHICULO ELECTRICO</t>
  </si>
  <si>
    <t>Matricula nueva</t>
  </si>
  <si>
    <t>Marca2</t>
  </si>
  <si>
    <t>Modelo/Versión3</t>
  </si>
  <si>
    <t>Combustible4</t>
  </si>
  <si>
    <t>Ceco</t>
  </si>
  <si>
    <t>Renov. Flota</t>
  </si>
  <si>
    <t>Fecha Alta</t>
  </si>
  <si>
    <t>Cod.Sociedad5</t>
  </si>
  <si>
    <t>Pedido</t>
  </si>
  <si>
    <t>Sociedad6</t>
  </si>
  <si>
    <t>LOTE</t>
  </si>
  <si>
    <t>0696MWT</t>
  </si>
  <si>
    <t>RENAULT</t>
  </si>
  <si>
    <t>KANGOO VAN E-TECH ELECTRIC</t>
  </si>
  <si>
    <t>ELECTRICO</t>
  </si>
  <si>
    <t>357107</t>
  </si>
  <si>
    <t>2024</t>
  </si>
  <si>
    <t>1021</t>
  </si>
  <si>
    <t>MEDICION AVANZADA CONTAD.</t>
  </si>
  <si>
    <t>lote 6352</t>
  </si>
  <si>
    <t>0699MWT</t>
  </si>
  <si>
    <t>1165MSX</t>
  </si>
  <si>
    <t>NISSAN</t>
  </si>
  <si>
    <t>TOWNSTAR</t>
  </si>
  <si>
    <t>724557</t>
  </si>
  <si>
    <t>1004</t>
  </si>
  <si>
    <t>G.O.MEDIOAMBIENTE S.L.</t>
  </si>
  <si>
    <t>lote 6349</t>
  </si>
  <si>
    <t>9605MMH</t>
  </si>
  <si>
    <t>KANGOO VAN E-TECH</t>
  </si>
  <si>
    <t>724378</t>
  </si>
  <si>
    <t>2023</t>
  </si>
  <si>
    <t>1108KHK</t>
  </si>
  <si>
    <t>ZOE 40</t>
  </si>
  <si>
    <t>1255MJM</t>
  </si>
  <si>
    <t>PEUGEOT</t>
  </si>
  <si>
    <t>E-EXPERT PRO 100 KW</t>
  </si>
  <si>
    <t>725455</t>
  </si>
  <si>
    <t>1505</t>
  </si>
  <si>
    <t>CGAC</t>
  </si>
  <si>
    <t>lote 6362</t>
  </si>
  <si>
    <t>2120MFK</t>
  </si>
  <si>
    <t>725465</t>
  </si>
  <si>
    <t>2788MXG</t>
  </si>
  <si>
    <t>201420</t>
  </si>
  <si>
    <t>1001</t>
  </si>
  <si>
    <t>AVSA</t>
  </si>
  <si>
    <t>lote 6347</t>
  </si>
  <si>
    <t>0692MWT</t>
  </si>
  <si>
    <t>357706</t>
  </si>
  <si>
    <t>0773MXH</t>
  </si>
  <si>
    <t>357708</t>
  </si>
  <si>
    <t>0823MXH</t>
  </si>
  <si>
    <t>357752</t>
  </si>
  <si>
    <t>0971MXH</t>
  </si>
  <si>
    <t>8349MXG</t>
  </si>
  <si>
    <t>355528</t>
  </si>
  <si>
    <t>1053</t>
  </si>
  <si>
    <t>ISG</t>
  </si>
  <si>
    <t>lote 1053</t>
  </si>
  <si>
    <t>3143MWZ</t>
  </si>
  <si>
    <t>CITROEN</t>
  </si>
  <si>
    <t>Ë-C3 ELÉCTRICO MAX</t>
  </si>
  <si>
    <t>100011</t>
  </si>
  <si>
    <t>1200</t>
  </si>
  <si>
    <t>EMIVASA</t>
  </si>
  <si>
    <t>lote 6356</t>
  </si>
  <si>
    <t>6082MWV</t>
  </si>
  <si>
    <t>12039060</t>
  </si>
  <si>
    <t>1203</t>
  </si>
  <si>
    <t>E.Mixta Metropolitana, SA</t>
  </si>
  <si>
    <t>lote 6357</t>
  </si>
  <si>
    <t>9050MWN</t>
  </si>
  <si>
    <t>200541</t>
  </si>
  <si>
    <t>3133MWZ</t>
  </si>
  <si>
    <t>200020</t>
  </si>
  <si>
    <t>3105MWZ</t>
  </si>
  <si>
    <t>6028MWV</t>
  </si>
  <si>
    <t>200590</t>
  </si>
  <si>
    <t>6029MWV</t>
  </si>
  <si>
    <t>200714</t>
  </si>
  <si>
    <t>6042MWV</t>
  </si>
  <si>
    <t>201510</t>
  </si>
  <si>
    <t>6046MWV</t>
  </si>
  <si>
    <t>200560</t>
  </si>
  <si>
    <t>6492MWV</t>
  </si>
  <si>
    <t>357108</t>
  </si>
  <si>
    <t>3121MWZ</t>
  </si>
  <si>
    <t>100041</t>
  </si>
  <si>
    <t>6493MWV</t>
  </si>
  <si>
    <t>3122MWZ</t>
  </si>
  <si>
    <t>200028</t>
  </si>
  <si>
    <t>6094MWV</t>
  </si>
  <si>
    <t>200317</t>
  </si>
  <si>
    <t>8606MWT</t>
  </si>
  <si>
    <t>355577</t>
  </si>
  <si>
    <t>3147MXJ</t>
  </si>
  <si>
    <t>DEFINIR</t>
  </si>
  <si>
    <t>1064</t>
  </si>
  <si>
    <t>AYWA SER.AMBIENTALES SL</t>
  </si>
  <si>
    <t>8658MWT</t>
  </si>
  <si>
    <t>356006</t>
  </si>
  <si>
    <t>1066</t>
  </si>
  <si>
    <t>CANALIZ. CIVILES S.A.</t>
  </si>
  <si>
    <t>lote 6354</t>
  </si>
  <si>
    <t>6370MXF</t>
  </si>
  <si>
    <t>350535</t>
  </si>
  <si>
    <t>8392MXG</t>
  </si>
  <si>
    <t>355457</t>
  </si>
  <si>
    <t>6051KRV</t>
  </si>
  <si>
    <t>724317</t>
  </si>
  <si>
    <t>0602KHK</t>
  </si>
  <si>
    <t>355539</t>
  </si>
  <si>
    <t>6727LMH</t>
  </si>
  <si>
    <t>SILENCE</t>
  </si>
  <si>
    <t>SEAT MO E 125 CC</t>
  </si>
  <si>
    <t>724236</t>
  </si>
  <si>
    <t>6022MWV</t>
  </si>
  <si>
    <t>10669120</t>
  </si>
  <si>
    <t>6007MWV</t>
  </si>
  <si>
    <t>200738</t>
  </si>
  <si>
    <t>6442MWV</t>
  </si>
  <si>
    <t>204427</t>
  </si>
  <si>
    <t>1178MSX</t>
  </si>
  <si>
    <t>2705MXG</t>
  </si>
  <si>
    <t>200567</t>
  </si>
  <si>
    <t>8626MWT</t>
  </si>
  <si>
    <t>5360MXF</t>
  </si>
  <si>
    <t>6952MXF</t>
  </si>
  <si>
    <t>200370</t>
  </si>
  <si>
    <t>1002</t>
  </si>
  <si>
    <t>G.O.INVERSIONES S.L.</t>
  </si>
  <si>
    <t>lote 6348</t>
  </si>
  <si>
    <t>2737MXG</t>
  </si>
  <si>
    <t>100599</t>
  </si>
  <si>
    <t>5665MWP</t>
  </si>
  <si>
    <t>10669100</t>
  </si>
  <si>
    <t>8651MWT</t>
  </si>
  <si>
    <t>0695MWT</t>
  </si>
  <si>
    <t>6015MWV</t>
  </si>
  <si>
    <t>6037MWV</t>
  </si>
  <si>
    <t>356010</t>
  </si>
  <si>
    <t>8627MWT</t>
  </si>
  <si>
    <t>356018</t>
  </si>
  <si>
    <t>8634MWT</t>
  </si>
  <si>
    <t>356004</t>
  </si>
  <si>
    <t>4621MVB</t>
  </si>
  <si>
    <t>201507</t>
  </si>
  <si>
    <t>1507</t>
  </si>
  <si>
    <t>EMP.AG.POTABL.MALGRAT SA</t>
  </si>
  <si>
    <t>lote 6363</t>
  </si>
  <si>
    <t>6128MWV</t>
  </si>
  <si>
    <t>6087MWV</t>
  </si>
  <si>
    <t>200784</t>
  </si>
  <si>
    <t>8387MXG</t>
  </si>
  <si>
    <t>355458</t>
  </si>
  <si>
    <t>8616MWT</t>
  </si>
  <si>
    <t>205351</t>
  </si>
  <si>
    <t>6089MWV</t>
  </si>
  <si>
    <t>101702</t>
  </si>
  <si>
    <t>6245MWV</t>
  </si>
  <si>
    <t>101243</t>
  </si>
  <si>
    <t>8249MXG</t>
  </si>
  <si>
    <t>6125MWV</t>
  </si>
  <si>
    <t>357710</t>
  </si>
  <si>
    <t>6124MWV</t>
  </si>
  <si>
    <t>355703</t>
  </si>
  <si>
    <t>7151MXV</t>
  </si>
  <si>
    <t>908755</t>
  </si>
  <si>
    <t>2025</t>
  </si>
  <si>
    <t>1490</t>
  </si>
  <si>
    <t>EMPRESA MIXTA CALPE</t>
  </si>
  <si>
    <t>lote 6368</t>
  </si>
  <si>
    <t>2087MJP</t>
  </si>
  <si>
    <t>0767MJM</t>
  </si>
  <si>
    <t>E-PARTNER PRO 100 KW</t>
  </si>
  <si>
    <t>0777MJM</t>
  </si>
  <si>
    <t>1666MGR</t>
  </si>
  <si>
    <t>OPEL</t>
  </si>
  <si>
    <t>VIVARO E-FURGON</t>
  </si>
  <si>
    <t>725485</t>
  </si>
  <si>
    <t>1258MJM</t>
  </si>
  <si>
    <t>725441</t>
  </si>
  <si>
    <t>2062MJP</t>
  </si>
  <si>
    <t>3191MXJ</t>
  </si>
  <si>
    <t>208356</t>
  </si>
  <si>
    <t>1400</t>
  </si>
  <si>
    <t>EGEVASA</t>
  </si>
  <si>
    <t>lote 6359</t>
  </si>
  <si>
    <t>8623MCZ</t>
  </si>
  <si>
    <t>725565</t>
  </si>
  <si>
    <t>8868KDN</t>
  </si>
  <si>
    <t>725586</t>
  </si>
  <si>
    <t>0210MWZ</t>
  </si>
  <si>
    <t>6033MWV</t>
  </si>
  <si>
    <t>2704MXG</t>
  </si>
  <si>
    <t>200599</t>
  </si>
  <si>
    <t>8637MWT</t>
  </si>
  <si>
    <t>5566KSD</t>
  </si>
  <si>
    <t>724359</t>
  </si>
  <si>
    <t>1177MSX</t>
  </si>
  <si>
    <t>1667MGR</t>
  </si>
  <si>
    <t>1256MJM</t>
  </si>
  <si>
    <t>1261MJM</t>
  </si>
  <si>
    <t>8654MCZ</t>
  </si>
  <si>
    <t>8328MCZ</t>
  </si>
  <si>
    <t>2043MJP</t>
  </si>
  <si>
    <t>725472</t>
  </si>
  <si>
    <t>0213MWZ</t>
  </si>
  <si>
    <t>12009060</t>
  </si>
  <si>
    <t>0224MWZ</t>
  </si>
  <si>
    <t>1428KDP</t>
  </si>
  <si>
    <t>201591</t>
  </si>
  <si>
    <t>1591</t>
  </si>
  <si>
    <t>EMP.MUN.SERVEIS PUBLICS</t>
  </si>
  <si>
    <t>no hay factura</t>
  </si>
  <si>
    <t>8636MWT</t>
  </si>
  <si>
    <t>10669109</t>
  </si>
  <si>
    <t>6445MWV</t>
  </si>
  <si>
    <t>205567</t>
  </si>
  <si>
    <t>5020MWL</t>
  </si>
  <si>
    <t>205337</t>
  </si>
  <si>
    <t>6847MWL</t>
  </si>
  <si>
    <t>8539MDK</t>
  </si>
  <si>
    <t>8533MDK</t>
  </si>
  <si>
    <t>4073MXK</t>
  </si>
  <si>
    <t>205584</t>
  </si>
  <si>
    <t>8597MWT</t>
  </si>
  <si>
    <t>205571</t>
  </si>
  <si>
    <t>8601MWT</t>
  </si>
  <si>
    <t>205335</t>
  </si>
  <si>
    <t>8603MWT</t>
  </si>
  <si>
    <t>8617MWT</t>
  </si>
  <si>
    <t>205327</t>
  </si>
  <si>
    <t>8618MWT</t>
  </si>
  <si>
    <t>2340MGR</t>
  </si>
  <si>
    <t>2732MWP</t>
  </si>
  <si>
    <t>10019060</t>
  </si>
  <si>
    <t>6097MWV</t>
  </si>
  <si>
    <t>200300</t>
  </si>
  <si>
    <t>2076MJP</t>
  </si>
  <si>
    <t>1066MWL</t>
  </si>
  <si>
    <t>Ë-BERLINGO 136 CV</t>
  </si>
  <si>
    <t>725498</t>
  </si>
  <si>
    <t>6005MWV</t>
  </si>
  <si>
    <t>356001</t>
  </si>
  <si>
    <t>0693MWT</t>
  </si>
  <si>
    <t>6559MWV</t>
  </si>
  <si>
    <t>724358</t>
  </si>
  <si>
    <t>0800MJM</t>
  </si>
  <si>
    <t>6055MWV</t>
  </si>
  <si>
    <t>6084MWV</t>
  </si>
  <si>
    <t>200542</t>
  </si>
  <si>
    <t>8647MWT</t>
  </si>
  <si>
    <t>10669105</t>
  </si>
  <si>
    <t>8619MWT</t>
  </si>
  <si>
    <t>205359</t>
  </si>
  <si>
    <t>6439MWV</t>
  </si>
  <si>
    <t>200101</t>
  </si>
  <si>
    <t>4000MWL</t>
  </si>
  <si>
    <t>4004MWL</t>
  </si>
  <si>
    <t>0700MWT</t>
  </si>
  <si>
    <t>0701MWT</t>
  </si>
  <si>
    <t>0682MWF</t>
  </si>
  <si>
    <t>3116MXJ</t>
  </si>
  <si>
    <t>724362</t>
  </si>
  <si>
    <t>3103MXJ</t>
  </si>
  <si>
    <t>10649080</t>
  </si>
  <si>
    <t>6398MWV</t>
  </si>
  <si>
    <t>3157MXJ</t>
  </si>
  <si>
    <t>368540</t>
  </si>
  <si>
    <t>6271MXF</t>
  </si>
  <si>
    <t>0477MGW</t>
  </si>
  <si>
    <t>8697MCZ</t>
  </si>
  <si>
    <t>8867KDN</t>
  </si>
  <si>
    <t>6126MWV</t>
  </si>
  <si>
    <t>6102MWV</t>
  </si>
  <si>
    <t>9546MWW</t>
  </si>
  <si>
    <t>8994MSH</t>
  </si>
  <si>
    <t>6334MXF</t>
  </si>
  <si>
    <t>8436MXG</t>
  </si>
  <si>
    <t>8496MXG</t>
  </si>
  <si>
    <t>355529</t>
  </si>
  <si>
    <t>7830MXF</t>
  </si>
  <si>
    <t>351379</t>
  </si>
  <si>
    <t>1009</t>
  </si>
  <si>
    <t>GAMASER</t>
  </si>
  <si>
    <t>lote 6351</t>
  </si>
  <si>
    <t>3154MXJ</t>
  </si>
  <si>
    <t>3178MXJ</t>
  </si>
  <si>
    <t>3186MXJ</t>
  </si>
  <si>
    <t>3214MXJ</t>
  </si>
  <si>
    <t>5230MXL</t>
  </si>
  <si>
    <t>201319</t>
  </si>
  <si>
    <t>1319</t>
  </si>
  <si>
    <t>UTE CHIVA(AV/EG)</t>
  </si>
  <si>
    <t>lote 6358</t>
  </si>
  <si>
    <t>8624MWT</t>
  </si>
  <si>
    <t>8625MWT</t>
  </si>
  <si>
    <t>8711MXK</t>
  </si>
  <si>
    <t>2343MGR</t>
  </si>
  <si>
    <t>8675MCZ</t>
  </si>
  <si>
    <t>6444MWV</t>
  </si>
  <si>
    <t>6558MWV</t>
  </si>
  <si>
    <t>724361</t>
  </si>
  <si>
    <t>8781MXK</t>
  </si>
  <si>
    <t>2720MWP</t>
  </si>
  <si>
    <t>201701</t>
  </si>
  <si>
    <t>2722MXG</t>
  </si>
  <si>
    <t>1954MXT</t>
  </si>
  <si>
    <t>200652</t>
  </si>
  <si>
    <t>1006</t>
  </si>
  <si>
    <t>ARAGONESA SER.PUBLICOS SL</t>
  </si>
  <si>
    <t>lote 6350</t>
  </si>
  <si>
    <t>1970MXT</t>
  </si>
  <si>
    <t>1976MXT</t>
  </si>
  <si>
    <t>0649MWZ</t>
  </si>
  <si>
    <t>200032</t>
  </si>
  <si>
    <t>6019MWV</t>
  </si>
  <si>
    <t>9049MWN</t>
  </si>
  <si>
    <t>8628MWT</t>
  </si>
  <si>
    <t>8640MWT</t>
  </si>
  <si>
    <t>8642MWT</t>
  </si>
  <si>
    <t>356016</t>
  </si>
  <si>
    <t>8644MWT</t>
  </si>
  <si>
    <t>5995KSD</t>
  </si>
  <si>
    <t>0778MJM</t>
  </si>
  <si>
    <t>7775MXF</t>
  </si>
  <si>
    <t>350108</t>
  </si>
  <si>
    <t>3111MWZ</t>
  </si>
  <si>
    <t>2717MXG</t>
  </si>
  <si>
    <t>3095MWZ</t>
  </si>
  <si>
    <t>8877KDN</t>
  </si>
  <si>
    <t>6083MWV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</si>
</sst>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1" fillId="0" borderId="0" xfId="1"/>
    <xf numFmtId="0" fontId="4" fillId="3" borderId="5" xfId="1" applyFont="1" applyFill="1" applyBorder="1"/>
    <xf numFmtId="0" fontId="4" fillId="3" borderId="6" xfId="1" applyFont="1" applyFill="1" applyBorder="1"/>
    <xf numFmtId="0" fontId="4" fillId="3" borderId="7" xfId="1" applyFont="1" applyFill="1" applyBorder="1"/>
    <xf numFmtId="0" fontId="4" fillId="2" borderId="8" xfId="1" applyFont="1" applyFill="1" applyBorder="1"/>
    <xf numFmtId="0" fontId="3" fillId="0" borderId="0" xfId="1" applyFont="1"/>
    <xf numFmtId="14" fontId="1" fillId="0" borderId="10" xfId="1" applyNumberFormat="1" applyBorder="1"/>
    <xf numFmtId="2" fontId="1" fillId="0" borderId="9" xfId="1" applyNumberFormat="1" applyBorder="1"/>
    <xf numFmtId="14" fontId="1" fillId="0" borderId="9" xfId="1" applyNumberFormat="1" applyBorder="1"/>
    <xf numFmtId="0" fontId="1" fillId="0" borderId="9" xfId="1" applyBorder="1" applyAlignment="1">
      <alignment vertical="top"/>
    </xf>
    <xf numFmtId="0" fontId="1" fillId="0" borderId="9" xfId="1" applyBorder="1"/>
    <xf numFmtId="14" fontId="1" fillId="0" borderId="11" xfId="1" applyNumberFormat="1" applyBorder="1"/>
    <xf numFmtId="14" fontId="1" fillId="0" borderId="6" xfId="1" applyNumberFormat="1" applyBorder="1"/>
    <xf numFmtId="14" fontId="2" fillId="5" borderId="13" xfId="1" applyNumberFormat="1" applyFont="1" applyFill="1" applyBorder="1"/>
    <xf numFmtId="2" fontId="1" fillId="0" borderId="12" xfId="1" applyNumberFormat="1" applyBorder="1"/>
    <xf numFmtId="14" fontId="1" fillId="0" borderId="14" xfId="1" applyNumberFormat="1" applyBorder="1"/>
    <xf numFmtId="0" fontId="1" fillId="0" borderId="12" xfId="1" applyBorder="1"/>
    <xf numFmtId="14" fontId="2" fillId="5" borderId="15" xfId="1" applyNumberFormat="1" applyFont="1" applyFill="1" applyBorder="1"/>
    <xf numFmtId="14" fontId="2" fillId="5" borderId="16" xfId="1" applyNumberFormat="1" applyFont="1" applyFill="1" applyBorder="1"/>
    <xf numFmtId="14" fontId="2" fillId="5" borderId="4" xfId="1" applyNumberFormat="1" applyFont="1" applyFill="1" applyBorder="1"/>
    <xf numFmtId="2" fontId="1" fillId="0" borderId="6" xfId="1" applyNumberFormat="1" applyBorder="1"/>
    <xf numFmtId="0" fontId="1" fillId="0" borderId="6" xfId="1" applyBorder="1" applyAlignment="1">
      <alignment vertical="top"/>
    </xf>
    <xf numFmtId="0" fontId="1" fillId="0" borderId="6" xfId="1" applyBorder="1"/>
    <xf numFmtId="2" fontId="1" fillId="0" borderId="17" xfId="1" applyNumberFormat="1" applyBorder="1"/>
    <xf numFmtId="2" fontId="1" fillId="0" borderId="18" xfId="1" applyNumberFormat="1" applyBorder="1"/>
    <xf numFmtId="14" fontId="2" fillId="5" borderId="1" xfId="1" applyNumberFormat="1" applyFont="1" applyFill="1" applyBorder="1"/>
    <xf numFmtId="14" fontId="1" fillId="0" borderId="17" xfId="1" applyNumberFormat="1" applyBorder="1"/>
    <xf numFmtId="0" fontId="1" fillId="0" borderId="17" xfId="1" applyBorder="1" applyAlignment="1">
      <alignment vertical="top"/>
    </xf>
    <xf numFmtId="0" fontId="1" fillId="0" borderId="17" xfId="1" applyBorder="1"/>
    <xf numFmtId="14" fontId="2" fillId="5" borderId="19" xfId="1" applyNumberFormat="1" applyFont="1" applyFill="1" applyBorder="1"/>
    <xf numFmtId="2" fontId="1" fillId="0" borderId="11" xfId="1" applyNumberFormat="1" applyBorder="1"/>
    <xf numFmtId="0" fontId="1" fillId="0" borderId="11" xfId="1" applyBorder="1" applyAlignment="1">
      <alignment vertical="top"/>
    </xf>
    <xf numFmtId="0" fontId="1" fillId="0" borderId="11" xfId="1" applyBorder="1"/>
    <xf numFmtId="14" fontId="2" fillId="5" borderId="3" xfId="1" applyNumberFormat="1" applyFont="1" applyFill="1" applyBorder="1"/>
    <xf numFmtId="0" fontId="1" fillId="0" borderId="6" xfId="0" applyFont="1" applyBorder="1" applyAlignment="1">
      <alignment vertical="top"/>
    </xf>
    <xf numFmtId="0" fontId="1" fillId="0" borderId="12" xfId="1" applyBorder="1" applyAlignment="1">
      <alignment horizontal="left"/>
    </xf>
    <xf numFmtId="0" fontId="1" fillId="0" borderId="12" xfId="1" applyBorder="1" applyAlignment="1">
      <alignment horizontal="left" vertical="top"/>
    </xf>
    <xf numFmtId="0" fontId="1" fillId="4" borderId="12" xfId="1" applyFill="1" applyBorder="1" applyAlignment="1">
      <alignment horizontal="left" vertical="top"/>
    </xf>
    <xf numFmtId="0" fontId="1" fillId="0" borderId="9" xfId="1" applyBorder="1" applyAlignment="1">
      <alignment horizontal="left" vertical="top"/>
    </xf>
    <xf numFmtId="0" fontId="1" fillId="0" borderId="17" xfId="1" applyBorder="1" applyAlignment="1">
      <alignment horizontal="left" vertical="top"/>
    </xf>
    <xf numFmtId="0" fontId="1" fillId="4" borderId="17" xfId="1" applyFill="1" applyBorder="1" applyAlignment="1">
      <alignment horizontal="left" vertical="top"/>
    </xf>
    <xf numFmtId="0" fontId="2" fillId="0" borderId="0" xfId="1" applyFont="1" applyAlignment="1">
      <alignment horizontal="center" vertical="center"/>
    </xf>
    <xf numFmtId="2" fontId="1" fillId="0" borderId="6" xfId="0" applyNumberFormat="1" applyFont="1" applyBorder="1"/>
    <xf numFmtId="14" fontId="1" fillId="0" borderId="6" xfId="0" applyNumberFormat="1" applyFont="1" applyBorder="1"/>
    <xf numFmtId="0" fontId="1" fillId="0" borderId="6" xfId="0" applyFont="1" applyBorder="1"/>
    <xf numFmtId="0" fontId="2" fillId="0" borderId="2" xfId="1" applyFont="1" applyBorder="1" applyAlignment="1">
      <alignment horizontal="center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9E331548-5040-4E14-AA12-F9583E3C3A4E}"/>
  </cellStyles>
  <dxfs count="21">
    <dxf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numFmt numFmtId="19" formatCode="dd/mm/yyyy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numFmt numFmtId="19" formatCode="dd/mm/yyyy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numFmt numFmtId="2" formatCode="0.0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numFmt numFmtId="2" formatCode="0.0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numFmt numFmtId="2" formatCode="0.0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numFmt numFmtId="2" formatCode="0.0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numFmt numFmtId="2" formatCode="0.0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lobalomnium.sharepoint.com/sites/Compras/Compras/CAEs/VEHICULOS/SUSTITUCION%20DE%20VEHICULO%20TERMICO%20POR%20ELECTRICO/DOCUMENTACION%20VEHICULOS/CALCULO%20CAE%20BV%20VEHICULOS%202025_09_29_Glob_Om_TRA050.xlsx" TargetMode="External"/><Relationship Id="rId1" Type="http://schemas.openxmlformats.org/officeDocument/2006/relationships/externalLinkPath" Target="https://globalomnium.sharepoint.com/sites/Compras/Compras/CAEs/VEHICULOS/SUSTITUCION%20DE%20VEHICULO%20TERMICO%20POR%20ELECTRICO/DOCUMENTACION%20VEHICULOS/CALCULO%20CAE%20BV%20VEHICULOS%202025_09_29_Glob_Om_TRA0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ACT"/>
      <sheetName val="TABLA SOC CAE"/>
      <sheetName val="BAJA2022202320242025"/>
      <sheetName val="ALTA 20242025"/>
    </sheetNames>
    <sheetDataSet>
      <sheetData sheetId="0"/>
      <sheetData sheetId="1"/>
      <sheetData sheetId="2"/>
      <sheetData sheetId="3">
        <row r="1">
          <cell r="B1" t="str">
            <v>Matrícula</v>
          </cell>
          <cell r="C1" t="str">
            <v>Compañía/Proveedor</v>
          </cell>
          <cell r="D1" t="str">
            <v>Cod.Tipo Contrato</v>
          </cell>
          <cell r="E1" t="str">
            <v>Tipo Contrato</v>
          </cell>
          <cell r="F1" t="str">
            <v>Situación Contrato</v>
          </cell>
          <cell r="G1" t="str">
            <v>Cod.Sit.Contrato</v>
          </cell>
          <cell r="H1" t="str">
            <v>Cod.Sociedad</v>
          </cell>
          <cell r="I1" t="str">
            <v>Sociedad</v>
          </cell>
          <cell r="K1" t="str">
            <v>Cod.Soc.Subro DE</v>
          </cell>
          <cell r="L1" t="str">
            <v>Soc.subrogación DE</v>
          </cell>
          <cell r="M1" t="str">
            <v>Cod.Soc.Pte.Sub A</v>
          </cell>
          <cell r="N1" t="str">
            <v>Soc.Pte.Subrogación A</v>
          </cell>
          <cell r="O1" t="str">
            <v>Nuesta Sol.Compras</v>
          </cell>
          <cell r="P1" t="str">
            <v>Ref/Pedido Prov.</v>
          </cell>
        </row>
        <row r="2">
          <cell r="B2" t="str">
            <v>P8325BDH</v>
          </cell>
          <cell r="C2" t="str">
            <v>PROPIEDAD</v>
          </cell>
          <cell r="D2" t="str">
            <v>5</v>
          </cell>
          <cell r="E2" t="str">
            <v>PROPIEDAD</v>
          </cell>
          <cell r="F2" t="str">
            <v>ACTIVO</v>
          </cell>
          <cell r="G2" t="str">
            <v>2</v>
          </cell>
          <cell r="H2" t="str">
            <v>8010</v>
          </cell>
          <cell r="I2" t="str">
            <v>VALORIA INVESTMENTS 2011</v>
          </cell>
          <cell r="J2">
            <v>1</v>
          </cell>
          <cell r="K2" t="str">
            <v/>
          </cell>
          <cell r="L2" t="str">
            <v/>
          </cell>
          <cell r="M2" t="str">
            <v/>
          </cell>
          <cell r="O2" t="str">
            <v>X</v>
          </cell>
          <cell r="P2" t="str">
            <v>X</v>
          </cell>
        </row>
        <row r="3">
          <cell r="B3" t="str">
            <v>3219MHW</v>
          </cell>
          <cell r="C3" t="str">
            <v>PROPIEDAD</v>
          </cell>
          <cell r="D3" t="str">
            <v>5</v>
          </cell>
          <cell r="E3" t="str">
            <v>PROPIEDAD</v>
          </cell>
          <cell r="F3" t="str">
            <v>ACTIVO</v>
          </cell>
          <cell r="G3" t="str">
            <v>2</v>
          </cell>
          <cell r="H3" t="str">
            <v>1505</v>
          </cell>
          <cell r="I3" t="str">
            <v>CGAC</v>
          </cell>
          <cell r="J3">
            <v>1</v>
          </cell>
          <cell r="K3" t="str">
            <v/>
          </cell>
          <cell r="L3" t="str">
            <v/>
          </cell>
          <cell r="M3" t="str">
            <v/>
          </cell>
          <cell r="O3" t="str">
            <v>10151293</v>
          </cell>
          <cell r="P3" t="str">
            <v>X</v>
          </cell>
        </row>
        <row r="4">
          <cell r="B4" t="str">
            <v>3201MHW</v>
          </cell>
          <cell r="C4" t="str">
            <v>PROPIEDAD</v>
          </cell>
          <cell r="D4" t="str">
            <v>5</v>
          </cell>
          <cell r="E4" t="str">
            <v>PROPIEDAD</v>
          </cell>
          <cell r="F4" t="str">
            <v>ACTIVO</v>
          </cell>
          <cell r="G4" t="str">
            <v>2</v>
          </cell>
          <cell r="H4" t="str">
            <v>1505</v>
          </cell>
          <cell r="I4" t="str">
            <v>CGAC</v>
          </cell>
          <cell r="J4">
            <v>2</v>
          </cell>
          <cell r="K4" t="str">
            <v/>
          </cell>
          <cell r="L4" t="str">
            <v/>
          </cell>
          <cell r="M4" t="str">
            <v/>
          </cell>
          <cell r="O4" t="str">
            <v>10151295</v>
          </cell>
          <cell r="P4" t="str">
            <v>X</v>
          </cell>
        </row>
        <row r="5">
          <cell r="B5" t="str">
            <v>3192MHW</v>
          </cell>
          <cell r="C5" t="str">
            <v>PROPIEDAD</v>
          </cell>
          <cell r="D5" t="str">
            <v>5</v>
          </cell>
          <cell r="E5" t="str">
            <v>PROPIEDAD</v>
          </cell>
          <cell r="F5" t="str">
            <v>ACTIVO</v>
          </cell>
          <cell r="G5" t="str">
            <v>2</v>
          </cell>
          <cell r="H5" t="str">
            <v>1505</v>
          </cell>
          <cell r="I5" t="str">
            <v>CGAC</v>
          </cell>
          <cell r="J5">
            <v>3</v>
          </cell>
          <cell r="K5" t="str">
            <v/>
          </cell>
          <cell r="L5" t="str">
            <v/>
          </cell>
          <cell r="M5" t="str">
            <v/>
          </cell>
          <cell r="O5" t="str">
            <v>10151294</v>
          </cell>
          <cell r="P5" t="str">
            <v>X</v>
          </cell>
        </row>
        <row r="6">
          <cell r="B6" t="str">
            <v>3140MHW</v>
          </cell>
          <cell r="C6" t="str">
            <v>PROPIEDAD</v>
          </cell>
          <cell r="D6" t="str">
            <v>5</v>
          </cell>
          <cell r="E6" t="str">
            <v>PROPIEDAD</v>
          </cell>
          <cell r="F6" t="str">
            <v>ACTIVO</v>
          </cell>
          <cell r="G6" t="str">
            <v>2</v>
          </cell>
          <cell r="H6" t="str">
            <v>1505</v>
          </cell>
          <cell r="I6" t="str">
            <v>CGAC</v>
          </cell>
          <cell r="J6">
            <v>4</v>
          </cell>
          <cell r="K6" t="str">
            <v/>
          </cell>
          <cell r="L6" t="str">
            <v/>
          </cell>
          <cell r="M6" t="str">
            <v/>
          </cell>
          <cell r="O6" t="str">
            <v>10151093</v>
          </cell>
          <cell r="P6" t="str">
            <v>X</v>
          </cell>
        </row>
        <row r="7">
          <cell r="B7" t="str">
            <v>4564MHF</v>
          </cell>
          <cell r="C7" t="str">
            <v>PROPIEDAD</v>
          </cell>
          <cell r="D7" t="str">
            <v>5</v>
          </cell>
          <cell r="E7" t="str">
            <v>PROPIEDAD</v>
          </cell>
          <cell r="F7" t="str">
            <v>ACTIVO</v>
          </cell>
          <cell r="G7" t="str">
            <v>2</v>
          </cell>
          <cell r="H7" t="str">
            <v>1505</v>
          </cell>
          <cell r="I7" t="str">
            <v>CGAC</v>
          </cell>
          <cell r="J7">
            <v>5</v>
          </cell>
          <cell r="K7" t="str">
            <v/>
          </cell>
          <cell r="L7" t="str">
            <v/>
          </cell>
          <cell r="M7" t="str">
            <v/>
          </cell>
          <cell r="O7" t="str">
            <v>10159597</v>
          </cell>
          <cell r="P7" t="str">
            <v>X</v>
          </cell>
        </row>
        <row r="8">
          <cell r="B8" t="str">
            <v>0404MGW</v>
          </cell>
          <cell r="C8" t="str">
            <v>PROPIEDAD</v>
          </cell>
          <cell r="D8" t="str">
            <v>5</v>
          </cell>
          <cell r="E8" t="str">
            <v>PROPIEDAD</v>
          </cell>
          <cell r="F8" t="str">
            <v>ACTIVO</v>
          </cell>
          <cell r="G8" t="str">
            <v>2</v>
          </cell>
          <cell r="H8" t="str">
            <v>1505</v>
          </cell>
          <cell r="I8" t="str">
            <v>CGAC</v>
          </cell>
          <cell r="J8">
            <v>6</v>
          </cell>
          <cell r="K8" t="str">
            <v/>
          </cell>
          <cell r="L8" t="str">
            <v/>
          </cell>
          <cell r="M8" t="str">
            <v/>
          </cell>
          <cell r="O8" t="str">
            <v>10151481</v>
          </cell>
          <cell r="P8" t="str">
            <v>X</v>
          </cell>
        </row>
        <row r="9">
          <cell r="B9" t="str">
            <v>0408MGW</v>
          </cell>
          <cell r="C9" t="str">
            <v>PROPIEDAD</v>
          </cell>
          <cell r="D9" t="str">
            <v>5</v>
          </cell>
          <cell r="E9" t="str">
            <v>PROPIEDAD</v>
          </cell>
          <cell r="F9" t="str">
            <v>ACTIVO</v>
          </cell>
          <cell r="G9" t="str">
            <v>2</v>
          </cell>
          <cell r="H9" t="str">
            <v>1505</v>
          </cell>
          <cell r="I9" t="str">
            <v>CGAC</v>
          </cell>
          <cell r="J9">
            <v>7</v>
          </cell>
          <cell r="K9" t="str">
            <v/>
          </cell>
          <cell r="L9" t="str">
            <v/>
          </cell>
          <cell r="M9" t="str">
            <v/>
          </cell>
          <cell r="O9" t="str">
            <v>10151478</v>
          </cell>
          <cell r="P9" t="str">
            <v>X</v>
          </cell>
        </row>
        <row r="10">
          <cell r="B10" t="str">
            <v>5357MDX</v>
          </cell>
          <cell r="C10" t="str">
            <v>PROPIEDAD</v>
          </cell>
          <cell r="D10" t="str">
            <v>5</v>
          </cell>
          <cell r="E10" t="str">
            <v>PROPIEDAD</v>
          </cell>
          <cell r="F10" t="str">
            <v>ACTIVO</v>
          </cell>
          <cell r="G10" t="str">
            <v>2</v>
          </cell>
          <cell r="H10" t="str">
            <v>8010</v>
          </cell>
          <cell r="I10" t="str">
            <v>VALORIA INVESTMENTS 2011</v>
          </cell>
          <cell r="J10">
            <v>2</v>
          </cell>
          <cell r="K10" t="str">
            <v/>
          </cell>
          <cell r="L10" t="str">
            <v/>
          </cell>
          <cell r="M10" t="str">
            <v/>
          </cell>
          <cell r="O10" t="str">
            <v>X</v>
          </cell>
          <cell r="P10" t="str">
            <v>X</v>
          </cell>
        </row>
        <row r="11">
          <cell r="B11" t="str">
            <v>5566KSD</v>
          </cell>
          <cell r="C11" t="str">
            <v>PROPIEDAD</v>
          </cell>
          <cell r="D11" t="str">
            <v>5</v>
          </cell>
          <cell r="E11" t="str">
            <v>PROPIEDAD</v>
          </cell>
          <cell r="F11" t="str">
            <v>ACTIVO</v>
          </cell>
          <cell r="G11" t="str">
            <v>2</v>
          </cell>
          <cell r="H11" t="str">
            <v>1004</v>
          </cell>
          <cell r="I11" t="str">
            <v>G.O.MEDIOAMBIENTE S.L.</v>
          </cell>
          <cell r="J11">
            <v>1</v>
          </cell>
          <cell r="K11" t="str">
            <v/>
          </cell>
          <cell r="L11" t="str">
            <v/>
          </cell>
          <cell r="M11" t="str">
            <v/>
          </cell>
          <cell r="O11" t="str">
            <v>X</v>
          </cell>
          <cell r="P11" t="str">
            <v>X</v>
          </cell>
        </row>
        <row r="12">
          <cell r="B12" t="str">
            <v>0477MGW</v>
          </cell>
          <cell r="C12" t="str">
            <v>PROPIEDAD</v>
          </cell>
          <cell r="D12" t="str">
            <v>5</v>
          </cell>
          <cell r="E12" t="str">
            <v>PROPIEDAD</v>
          </cell>
          <cell r="F12" t="str">
            <v>ACTIVO</v>
          </cell>
          <cell r="G12" t="str">
            <v>2</v>
          </cell>
          <cell r="H12" t="str">
            <v>1505</v>
          </cell>
          <cell r="I12" t="str">
            <v>CGAC</v>
          </cell>
          <cell r="J12">
            <v>8</v>
          </cell>
          <cell r="K12" t="str">
            <v/>
          </cell>
          <cell r="L12" t="str">
            <v/>
          </cell>
          <cell r="M12" t="str">
            <v/>
          </cell>
          <cell r="O12" t="str">
            <v>10151480</v>
          </cell>
          <cell r="P12" t="str">
            <v>X</v>
          </cell>
        </row>
        <row r="13">
          <cell r="B13" t="str">
            <v>0767MJM</v>
          </cell>
          <cell r="C13" t="str">
            <v>PROPIEDAD</v>
          </cell>
          <cell r="D13" t="str">
            <v>5</v>
          </cell>
          <cell r="E13" t="str">
            <v>PROPIEDAD</v>
          </cell>
          <cell r="F13" t="str">
            <v>ACTIVO</v>
          </cell>
          <cell r="G13" t="str">
            <v>2</v>
          </cell>
          <cell r="H13" t="str">
            <v>1505</v>
          </cell>
          <cell r="I13" t="str">
            <v>CGAC</v>
          </cell>
          <cell r="J13">
            <v>9</v>
          </cell>
          <cell r="K13" t="str">
            <v/>
          </cell>
          <cell r="L13" t="str">
            <v/>
          </cell>
          <cell r="M13" t="str">
            <v/>
          </cell>
          <cell r="O13" t="str">
            <v>10169918</v>
          </cell>
          <cell r="P13" t="str">
            <v>X</v>
          </cell>
        </row>
        <row r="14">
          <cell r="B14" t="str">
            <v>0777MJM</v>
          </cell>
          <cell r="C14" t="str">
            <v>PROPIEDAD</v>
          </cell>
          <cell r="D14" t="str">
            <v>5</v>
          </cell>
          <cell r="E14" t="str">
            <v>PROPIEDAD</v>
          </cell>
          <cell r="F14" t="str">
            <v>ACTIVO</v>
          </cell>
          <cell r="G14" t="str">
            <v>2</v>
          </cell>
          <cell r="H14" t="str">
            <v>1505</v>
          </cell>
          <cell r="I14" t="str">
            <v>CGAC</v>
          </cell>
          <cell r="J14">
            <v>10</v>
          </cell>
          <cell r="K14" t="str">
            <v/>
          </cell>
          <cell r="L14" t="str">
            <v/>
          </cell>
          <cell r="M14" t="str">
            <v/>
          </cell>
          <cell r="O14" t="str">
            <v>10169919</v>
          </cell>
          <cell r="P14" t="str">
            <v>X</v>
          </cell>
        </row>
        <row r="15">
          <cell r="B15" t="str">
            <v>0778MJM</v>
          </cell>
          <cell r="C15" t="str">
            <v>PROPIEDAD</v>
          </cell>
          <cell r="D15" t="str">
            <v>5</v>
          </cell>
          <cell r="E15" t="str">
            <v>PROPIEDAD</v>
          </cell>
          <cell r="F15" t="str">
            <v>ACTIVO</v>
          </cell>
          <cell r="G15" t="str">
            <v>2</v>
          </cell>
          <cell r="H15" t="str">
            <v>1505</v>
          </cell>
          <cell r="I15" t="str">
            <v>CGAC</v>
          </cell>
          <cell r="J15">
            <v>11</v>
          </cell>
          <cell r="K15" t="str">
            <v/>
          </cell>
          <cell r="L15" t="str">
            <v/>
          </cell>
          <cell r="M15" t="str">
            <v/>
          </cell>
          <cell r="O15" t="str">
            <v>10169920</v>
          </cell>
          <cell r="P15" t="str">
            <v>X</v>
          </cell>
        </row>
        <row r="16">
          <cell r="B16" t="str">
            <v>0800MJM</v>
          </cell>
          <cell r="C16" t="str">
            <v>PROPIEDAD</v>
          </cell>
          <cell r="D16" t="str">
            <v>5</v>
          </cell>
          <cell r="E16" t="str">
            <v>PROPIEDAD</v>
          </cell>
          <cell r="F16" t="str">
            <v>ACTIVO</v>
          </cell>
          <cell r="G16" t="str">
            <v>2</v>
          </cell>
          <cell r="H16" t="str">
            <v>1505</v>
          </cell>
          <cell r="I16" t="str">
            <v>CGAC</v>
          </cell>
          <cell r="J16">
            <v>12</v>
          </cell>
          <cell r="K16" t="str">
            <v/>
          </cell>
          <cell r="L16" t="str">
            <v/>
          </cell>
          <cell r="M16" t="str">
            <v/>
          </cell>
          <cell r="O16" t="str">
            <v>10169921</v>
          </cell>
          <cell r="P16" t="str">
            <v>X</v>
          </cell>
        </row>
        <row r="17">
          <cell r="B17" t="str">
            <v>2343MGR</v>
          </cell>
          <cell r="C17" t="str">
            <v>PROPIEDAD</v>
          </cell>
          <cell r="D17" t="str">
            <v>5</v>
          </cell>
          <cell r="E17" t="str">
            <v>PROPIEDAD</v>
          </cell>
          <cell r="F17" t="str">
            <v>ACTIVO</v>
          </cell>
          <cell r="G17" t="str">
            <v>2</v>
          </cell>
          <cell r="H17" t="str">
            <v>1505</v>
          </cell>
          <cell r="I17" t="str">
            <v>CGAC</v>
          </cell>
          <cell r="J17">
            <v>13</v>
          </cell>
          <cell r="K17" t="str">
            <v/>
          </cell>
          <cell r="L17" t="str">
            <v/>
          </cell>
          <cell r="M17" t="str">
            <v/>
          </cell>
          <cell r="O17" t="str">
            <v>10151477</v>
          </cell>
          <cell r="P17" t="str">
            <v>X</v>
          </cell>
        </row>
        <row r="18">
          <cell r="B18" t="str">
            <v>2340MGR</v>
          </cell>
          <cell r="C18" t="str">
            <v>PROPIEDAD</v>
          </cell>
          <cell r="D18" t="str">
            <v>5</v>
          </cell>
          <cell r="E18" t="str">
            <v>PROPIEDAD</v>
          </cell>
          <cell r="F18" t="str">
            <v>ACTIVO</v>
          </cell>
          <cell r="G18" t="str">
            <v>2</v>
          </cell>
          <cell r="H18" t="str">
            <v>1505</v>
          </cell>
          <cell r="I18" t="str">
            <v>CGAC</v>
          </cell>
          <cell r="J18">
            <v>14</v>
          </cell>
          <cell r="K18" t="str">
            <v/>
          </cell>
          <cell r="L18" t="str">
            <v/>
          </cell>
          <cell r="M18" t="str">
            <v/>
          </cell>
          <cell r="O18" t="str">
            <v>10151301</v>
          </cell>
          <cell r="P18" t="str">
            <v>X</v>
          </cell>
        </row>
        <row r="19">
          <cell r="B19" t="str">
            <v>9605MMH</v>
          </cell>
          <cell r="C19" t="str">
            <v>PROPIEDAD</v>
          </cell>
          <cell r="D19" t="str">
            <v>5</v>
          </cell>
          <cell r="E19" t="str">
            <v>PROPIEDAD</v>
          </cell>
          <cell r="F19" t="str">
            <v>ACTIVO</v>
          </cell>
          <cell r="G19" t="str">
            <v>2</v>
          </cell>
          <cell r="H19" t="str">
            <v>1004</v>
          </cell>
          <cell r="I19" t="str">
            <v>G.O.MEDIOAMBIENTE S.L.</v>
          </cell>
          <cell r="J19">
            <v>2</v>
          </cell>
          <cell r="K19" t="str">
            <v/>
          </cell>
          <cell r="L19" t="str">
            <v/>
          </cell>
          <cell r="M19" t="str">
            <v/>
          </cell>
          <cell r="O19" t="str">
            <v>10188743</v>
          </cell>
          <cell r="P19" t="str">
            <v>X</v>
          </cell>
        </row>
        <row r="20">
          <cell r="B20" t="str">
            <v>8877KDN</v>
          </cell>
          <cell r="C20" t="str">
            <v>PROPIEDAD</v>
          </cell>
          <cell r="D20" t="str">
            <v>5</v>
          </cell>
          <cell r="E20" t="str">
            <v>PROPIEDAD</v>
          </cell>
          <cell r="F20" t="str">
            <v>ACTIVO</v>
          </cell>
          <cell r="G20" t="str">
            <v>2</v>
          </cell>
          <cell r="H20" t="str">
            <v>1505</v>
          </cell>
          <cell r="I20" t="str">
            <v>CGAC</v>
          </cell>
          <cell r="J20">
            <v>15</v>
          </cell>
          <cell r="K20" t="str">
            <v/>
          </cell>
          <cell r="L20" t="str">
            <v/>
          </cell>
          <cell r="M20" t="str">
            <v/>
          </cell>
          <cell r="O20" t="str">
            <v>10148502</v>
          </cell>
          <cell r="P20" t="str">
            <v>X</v>
          </cell>
        </row>
        <row r="21">
          <cell r="B21" t="str">
            <v>8873KDN</v>
          </cell>
          <cell r="C21" t="str">
            <v>PROPIEDAD</v>
          </cell>
          <cell r="D21" t="str">
            <v>5</v>
          </cell>
          <cell r="E21" t="str">
            <v>PROPIEDAD</v>
          </cell>
          <cell r="F21" t="str">
            <v>ACTIVO</v>
          </cell>
          <cell r="G21" t="str">
            <v>2</v>
          </cell>
          <cell r="H21" t="str">
            <v>1009</v>
          </cell>
          <cell r="I21" t="str">
            <v>GAMASER</v>
          </cell>
          <cell r="J21">
            <v>1</v>
          </cell>
          <cell r="K21" t="str">
            <v/>
          </cell>
          <cell r="L21" t="str">
            <v/>
          </cell>
          <cell r="M21" t="str">
            <v/>
          </cell>
          <cell r="O21" t="str">
            <v>10182077</v>
          </cell>
          <cell r="P21" t="str">
            <v>X</v>
          </cell>
        </row>
        <row r="22">
          <cell r="B22" t="str">
            <v>8868KDN</v>
          </cell>
          <cell r="C22" t="str">
            <v>PROPIEDAD</v>
          </cell>
          <cell r="D22" t="str">
            <v>5</v>
          </cell>
          <cell r="E22" t="str">
            <v>PROPIEDAD</v>
          </cell>
          <cell r="F22" t="str">
            <v>ACTIVO</v>
          </cell>
          <cell r="G22" t="str">
            <v>2</v>
          </cell>
          <cell r="H22" t="str">
            <v>1505</v>
          </cell>
          <cell r="I22" t="str">
            <v>CGAC</v>
          </cell>
          <cell r="J22">
            <v>16</v>
          </cell>
          <cell r="K22" t="str">
            <v/>
          </cell>
          <cell r="L22" t="str">
            <v/>
          </cell>
          <cell r="M22" t="str">
            <v/>
          </cell>
          <cell r="O22" t="str">
            <v>10151436</v>
          </cell>
          <cell r="P22" t="str">
            <v>X</v>
          </cell>
        </row>
        <row r="23">
          <cell r="B23" t="str">
            <v>8867KDN</v>
          </cell>
          <cell r="C23" t="str">
            <v>PROPIEDAD</v>
          </cell>
          <cell r="D23" t="str">
            <v>5</v>
          </cell>
          <cell r="E23" t="str">
            <v>PROPIEDAD</v>
          </cell>
          <cell r="F23" t="str">
            <v>ACTIVO</v>
          </cell>
          <cell r="G23" t="str">
            <v>2</v>
          </cell>
          <cell r="H23" t="str">
            <v>1505</v>
          </cell>
          <cell r="I23" t="str">
            <v>CGAC</v>
          </cell>
          <cell r="J23">
            <v>17</v>
          </cell>
          <cell r="K23" t="str">
            <v/>
          </cell>
          <cell r="L23" t="str">
            <v/>
          </cell>
          <cell r="M23" t="str">
            <v/>
          </cell>
          <cell r="O23" t="str">
            <v>10148178</v>
          </cell>
          <cell r="P23" t="str">
            <v>X</v>
          </cell>
        </row>
        <row r="24">
          <cell r="B24" t="str">
            <v>1255MJM</v>
          </cell>
          <cell r="C24" t="str">
            <v>PROPIEDAD</v>
          </cell>
          <cell r="D24" t="str">
            <v>5</v>
          </cell>
          <cell r="E24" t="str">
            <v>PROPIEDAD</v>
          </cell>
          <cell r="F24" t="str">
            <v>ACTIVO</v>
          </cell>
          <cell r="G24" t="str">
            <v>2</v>
          </cell>
          <cell r="H24" t="str">
            <v>1505</v>
          </cell>
          <cell r="I24" t="str">
            <v>CGAC</v>
          </cell>
          <cell r="J24">
            <v>18</v>
          </cell>
          <cell r="K24" t="str">
            <v/>
          </cell>
          <cell r="L24" t="str">
            <v/>
          </cell>
          <cell r="M24" t="str">
            <v/>
          </cell>
          <cell r="O24" t="str">
            <v>10169925</v>
          </cell>
          <cell r="P24" t="str">
            <v>X</v>
          </cell>
        </row>
        <row r="25">
          <cell r="B25" t="str">
            <v>1256MJM</v>
          </cell>
          <cell r="C25" t="str">
            <v>PROPIEDAD</v>
          </cell>
          <cell r="D25" t="str">
            <v>5</v>
          </cell>
          <cell r="E25" t="str">
            <v>PROPIEDAD</v>
          </cell>
          <cell r="F25" t="str">
            <v>ACTIVO</v>
          </cell>
          <cell r="G25" t="str">
            <v>2</v>
          </cell>
          <cell r="H25" t="str">
            <v>1505</v>
          </cell>
          <cell r="I25" t="str">
            <v>CGAC</v>
          </cell>
          <cell r="J25">
            <v>19</v>
          </cell>
          <cell r="K25" t="str">
            <v/>
          </cell>
          <cell r="L25" t="str">
            <v/>
          </cell>
          <cell r="M25" t="str">
            <v/>
          </cell>
          <cell r="O25" t="str">
            <v>10169914</v>
          </cell>
          <cell r="P25" t="str">
            <v>X</v>
          </cell>
        </row>
        <row r="26">
          <cell r="B26" t="str">
            <v>1258MJM</v>
          </cell>
          <cell r="C26" t="str">
            <v>PROPIEDAD</v>
          </cell>
          <cell r="D26" t="str">
            <v>5</v>
          </cell>
          <cell r="E26" t="str">
            <v>PROPIEDAD</v>
          </cell>
          <cell r="F26" t="str">
            <v>ACTIVO</v>
          </cell>
          <cell r="G26" t="str">
            <v>2</v>
          </cell>
          <cell r="H26" t="str">
            <v>1505</v>
          </cell>
          <cell r="I26" t="str">
            <v>CGAC</v>
          </cell>
          <cell r="J26">
            <v>20</v>
          </cell>
          <cell r="K26" t="str">
            <v/>
          </cell>
          <cell r="L26" t="str">
            <v/>
          </cell>
          <cell r="M26" t="str">
            <v/>
          </cell>
          <cell r="O26" t="str">
            <v>10169915</v>
          </cell>
          <cell r="P26" t="str">
            <v>X</v>
          </cell>
        </row>
        <row r="27">
          <cell r="B27" t="str">
            <v>1261MJM</v>
          </cell>
          <cell r="C27" t="str">
            <v>PROPIEDAD</v>
          </cell>
          <cell r="D27" t="str">
            <v>5</v>
          </cell>
          <cell r="E27" t="str">
            <v>PROPIEDAD</v>
          </cell>
          <cell r="F27" t="str">
            <v>ACTIVO</v>
          </cell>
          <cell r="G27" t="str">
            <v>2</v>
          </cell>
          <cell r="H27" t="str">
            <v>1505</v>
          </cell>
          <cell r="I27" t="str">
            <v>CGAC</v>
          </cell>
          <cell r="J27">
            <v>21</v>
          </cell>
          <cell r="K27" t="str">
            <v/>
          </cell>
          <cell r="L27" t="str">
            <v/>
          </cell>
          <cell r="M27" t="str">
            <v/>
          </cell>
          <cell r="O27" t="str">
            <v>10169923</v>
          </cell>
          <cell r="P27" t="str">
            <v>X</v>
          </cell>
        </row>
        <row r="28">
          <cell r="B28" t="str">
            <v>2120MFK</v>
          </cell>
          <cell r="C28" t="str">
            <v>PROPIEDAD</v>
          </cell>
          <cell r="D28" t="str">
            <v>5</v>
          </cell>
          <cell r="E28" t="str">
            <v>PROPIEDAD</v>
          </cell>
          <cell r="F28" t="str">
            <v>ACTIVO</v>
          </cell>
          <cell r="G28" t="str">
            <v>2</v>
          </cell>
          <cell r="H28" t="str">
            <v>1505</v>
          </cell>
          <cell r="I28" t="str">
            <v>CGAC</v>
          </cell>
          <cell r="J28">
            <v>22</v>
          </cell>
          <cell r="K28" t="str">
            <v/>
          </cell>
          <cell r="L28" t="str">
            <v/>
          </cell>
          <cell r="M28" t="str">
            <v/>
          </cell>
          <cell r="O28" t="str">
            <v>10149123</v>
          </cell>
          <cell r="P28" t="str">
            <v>X</v>
          </cell>
        </row>
        <row r="29">
          <cell r="B29" t="str">
            <v>2087MJP</v>
          </cell>
          <cell r="C29" t="str">
            <v>PROPIEDAD</v>
          </cell>
          <cell r="D29" t="str">
            <v>5</v>
          </cell>
          <cell r="E29" t="str">
            <v>PROPIEDAD</v>
          </cell>
          <cell r="F29" t="str">
            <v>ACTIVO</v>
          </cell>
          <cell r="G29" t="str">
            <v>2</v>
          </cell>
          <cell r="H29" t="str">
            <v>1505</v>
          </cell>
          <cell r="I29" t="str">
            <v>CGAC</v>
          </cell>
          <cell r="J29">
            <v>23</v>
          </cell>
          <cell r="K29" t="str">
            <v/>
          </cell>
          <cell r="L29" t="str">
            <v/>
          </cell>
          <cell r="M29" t="str">
            <v/>
          </cell>
          <cell r="O29" t="str">
            <v>10149120</v>
          </cell>
          <cell r="P29" t="str">
            <v>X</v>
          </cell>
        </row>
        <row r="30">
          <cell r="B30" t="str">
            <v>2076MJP</v>
          </cell>
          <cell r="C30" t="str">
            <v>PROPIEDAD</v>
          </cell>
          <cell r="D30" t="str">
            <v>5</v>
          </cell>
          <cell r="E30" t="str">
            <v>PROPIEDAD</v>
          </cell>
          <cell r="F30" t="str">
            <v>ACTIVO</v>
          </cell>
          <cell r="G30" t="str">
            <v>2</v>
          </cell>
          <cell r="H30" t="str">
            <v>1505</v>
          </cell>
          <cell r="I30" t="str">
            <v>CGAC</v>
          </cell>
          <cell r="J30">
            <v>24</v>
          </cell>
          <cell r="K30" t="str">
            <v/>
          </cell>
          <cell r="L30" t="str">
            <v/>
          </cell>
          <cell r="M30" t="str">
            <v/>
          </cell>
          <cell r="O30" t="str">
            <v>10169917</v>
          </cell>
          <cell r="P30" t="str">
            <v>X</v>
          </cell>
        </row>
        <row r="31">
          <cell r="B31" t="str">
            <v>1406KDP</v>
          </cell>
          <cell r="C31" t="str">
            <v>PROPIEDAD</v>
          </cell>
          <cell r="D31" t="str">
            <v>5</v>
          </cell>
          <cell r="E31" t="str">
            <v>PROPIEDAD</v>
          </cell>
          <cell r="F31" t="str">
            <v>ACTIVO</v>
          </cell>
          <cell r="G31" t="str">
            <v>2</v>
          </cell>
          <cell r="H31" t="str">
            <v>1021</v>
          </cell>
          <cell r="I31" t="str">
            <v>MEDICION AVANZADA CONTAD.</v>
          </cell>
          <cell r="J31">
            <v>1</v>
          </cell>
          <cell r="K31" t="str">
            <v/>
          </cell>
          <cell r="L31" t="str">
            <v/>
          </cell>
          <cell r="M31" t="str">
            <v/>
          </cell>
          <cell r="O31" t="str">
            <v>10151889</v>
          </cell>
          <cell r="P31" t="str">
            <v>X</v>
          </cell>
        </row>
        <row r="32">
          <cell r="B32" t="str">
            <v>2062MJP</v>
          </cell>
          <cell r="C32" t="str">
            <v>PROPIEDAD</v>
          </cell>
          <cell r="D32" t="str">
            <v>5</v>
          </cell>
          <cell r="E32" t="str">
            <v>PROPIEDAD</v>
          </cell>
          <cell r="F32" t="str">
            <v>ACTIVO</v>
          </cell>
          <cell r="G32" t="str">
            <v>2</v>
          </cell>
          <cell r="H32" t="str">
            <v>1505</v>
          </cell>
          <cell r="I32" t="str">
            <v>CGAC</v>
          </cell>
          <cell r="J32">
            <v>25</v>
          </cell>
          <cell r="K32" t="str">
            <v/>
          </cell>
          <cell r="L32" t="str">
            <v/>
          </cell>
          <cell r="M32" t="str">
            <v/>
          </cell>
          <cell r="O32" t="str">
            <v>10169916</v>
          </cell>
          <cell r="P32" t="str">
            <v>X</v>
          </cell>
        </row>
        <row r="33">
          <cell r="B33" t="str">
            <v>1428KDP</v>
          </cell>
          <cell r="C33" t="str">
            <v>PROPIEDAD</v>
          </cell>
          <cell r="D33" t="str">
            <v>5</v>
          </cell>
          <cell r="E33" t="str">
            <v>PROPIEDAD</v>
          </cell>
          <cell r="F33" t="str">
            <v>ACTIVO</v>
          </cell>
          <cell r="G33" t="str">
            <v>2</v>
          </cell>
          <cell r="H33" t="str">
            <v>1591</v>
          </cell>
          <cell r="I33" t="str">
            <v>EMP.MUN.SERVEIS PUBLICS</v>
          </cell>
          <cell r="J33">
            <v>1</v>
          </cell>
          <cell r="K33" t="str">
            <v/>
          </cell>
          <cell r="L33" t="str">
            <v/>
          </cell>
          <cell r="M33" t="str">
            <v/>
          </cell>
          <cell r="O33" t="str">
            <v>10148507</v>
          </cell>
          <cell r="P33" t="str">
            <v>X</v>
          </cell>
        </row>
        <row r="34">
          <cell r="B34" t="str">
            <v>2043MJP</v>
          </cell>
          <cell r="C34" t="str">
            <v>PROPIEDAD</v>
          </cell>
          <cell r="D34" t="str">
            <v>5</v>
          </cell>
          <cell r="E34" t="str">
            <v>PROPIEDAD</v>
          </cell>
          <cell r="F34" t="str">
            <v>ACTIVO</v>
          </cell>
          <cell r="G34" t="str">
            <v>2</v>
          </cell>
          <cell r="H34" t="str">
            <v>1505</v>
          </cell>
          <cell r="I34" t="str">
            <v>CGAC</v>
          </cell>
          <cell r="J34">
            <v>26</v>
          </cell>
          <cell r="K34" t="str">
            <v/>
          </cell>
          <cell r="L34" t="str">
            <v/>
          </cell>
          <cell r="M34" t="str">
            <v/>
          </cell>
          <cell r="O34" t="str">
            <v>10149931</v>
          </cell>
          <cell r="P34" t="str">
            <v>X</v>
          </cell>
        </row>
        <row r="35">
          <cell r="B35" t="str">
            <v>8539MDK</v>
          </cell>
          <cell r="C35" t="str">
            <v>PROPIEDAD</v>
          </cell>
          <cell r="D35" t="str">
            <v>5</v>
          </cell>
          <cell r="E35" t="str">
            <v>PROPIEDAD</v>
          </cell>
          <cell r="F35" t="str">
            <v>ACTIVO</v>
          </cell>
          <cell r="G35" t="str">
            <v>2</v>
          </cell>
          <cell r="H35" t="str">
            <v>1505</v>
          </cell>
          <cell r="I35" t="str">
            <v>CGAC</v>
          </cell>
          <cell r="J35">
            <v>27</v>
          </cell>
          <cell r="K35" t="str">
            <v/>
          </cell>
          <cell r="L35" t="str">
            <v/>
          </cell>
          <cell r="M35" t="str">
            <v/>
          </cell>
          <cell r="O35" t="str">
            <v>10149139</v>
          </cell>
          <cell r="P35" t="str">
            <v>X</v>
          </cell>
        </row>
        <row r="36">
          <cell r="B36" t="str">
            <v>8533MDK</v>
          </cell>
          <cell r="C36" t="str">
            <v>PROPIEDAD</v>
          </cell>
          <cell r="D36" t="str">
            <v>5</v>
          </cell>
          <cell r="E36" t="str">
            <v>PROPIEDAD</v>
          </cell>
          <cell r="F36" t="str">
            <v>ACTIVO</v>
          </cell>
          <cell r="G36" t="str">
            <v>2</v>
          </cell>
          <cell r="H36" t="str">
            <v>1505</v>
          </cell>
          <cell r="I36" t="str">
            <v>CGAC</v>
          </cell>
          <cell r="J36">
            <v>28</v>
          </cell>
          <cell r="K36" t="str">
            <v/>
          </cell>
          <cell r="L36" t="str">
            <v/>
          </cell>
          <cell r="M36" t="str">
            <v/>
          </cell>
          <cell r="O36" t="str">
            <v>10149134</v>
          </cell>
          <cell r="P36" t="str">
            <v>X</v>
          </cell>
        </row>
        <row r="37">
          <cell r="B37" t="str">
            <v>1666MGR</v>
          </cell>
          <cell r="C37" t="str">
            <v>PROPIEDAD</v>
          </cell>
          <cell r="D37" t="str">
            <v>5</v>
          </cell>
          <cell r="E37" t="str">
            <v>PROPIEDAD</v>
          </cell>
          <cell r="F37" t="str">
            <v>ACTIVO</v>
          </cell>
          <cell r="G37" t="str">
            <v>2</v>
          </cell>
          <cell r="H37" t="str">
            <v>1505</v>
          </cell>
          <cell r="I37" t="str">
            <v>CGAC</v>
          </cell>
          <cell r="J37">
            <v>29</v>
          </cell>
          <cell r="K37" t="str">
            <v/>
          </cell>
          <cell r="L37" t="str">
            <v/>
          </cell>
          <cell r="M37" t="str">
            <v/>
          </cell>
          <cell r="O37" t="str">
            <v>10151136</v>
          </cell>
          <cell r="P37" t="str">
            <v>X</v>
          </cell>
        </row>
        <row r="38">
          <cell r="B38" t="str">
            <v>1667MGR</v>
          </cell>
          <cell r="C38" t="str">
            <v>PROPIEDAD</v>
          </cell>
          <cell r="D38" t="str">
            <v>5</v>
          </cell>
          <cell r="E38" t="str">
            <v>PROPIEDAD</v>
          </cell>
          <cell r="F38" t="str">
            <v>ACTIVO</v>
          </cell>
          <cell r="G38" t="str">
            <v>2</v>
          </cell>
          <cell r="H38" t="str">
            <v>1505</v>
          </cell>
          <cell r="I38" t="str">
            <v>CGAC</v>
          </cell>
          <cell r="J38">
            <v>30</v>
          </cell>
          <cell r="K38" t="str">
            <v/>
          </cell>
          <cell r="L38" t="str">
            <v/>
          </cell>
          <cell r="M38" t="str">
            <v/>
          </cell>
          <cell r="O38" t="str">
            <v>10151302</v>
          </cell>
          <cell r="P38" t="str">
            <v>X</v>
          </cell>
        </row>
        <row r="39">
          <cell r="B39" t="str">
            <v>0176MWZ</v>
          </cell>
          <cell r="C39" t="str">
            <v>PROPIEDAD</v>
          </cell>
          <cell r="D39" t="str">
            <v>5</v>
          </cell>
          <cell r="E39" t="str">
            <v>PROPIEDAD</v>
          </cell>
          <cell r="F39" t="str">
            <v>ACTIVO</v>
          </cell>
          <cell r="G39" t="str">
            <v>2</v>
          </cell>
          <cell r="H39" t="str">
            <v>1200</v>
          </cell>
          <cell r="I39" t="str">
            <v>EMIVASA</v>
          </cell>
          <cell r="J39">
            <v>1</v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>10227630</v>
          </cell>
          <cell r="P39" t="str">
            <v>4500424875</v>
          </cell>
        </row>
        <row r="40">
          <cell r="B40" t="str">
            <v>0178MWZ</v>
          </cell>
          <cell r="C40" t="str">
            <v>PROPIEDAD</v>
          </cell>
          <cell r="D40" t="str">
            <v>5</v>
          </cell>
          <cell r="E40" t="str">
            <v>PROPIEDAD</v>
          </cell>
          <cell r="F40" t="str">
            <v>ACTIVO</v>
          </cell>
          <cell r="G40" t="str">
            <v>2</v>
          </cell>
          <cell r="H40" t="str">
            <v>1200</v>
          </cell>
          <cell r="I40" t="str">
            <v>EMIVASA</v>
          </cell>
          <cell r="J40">
            <v>2</v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>10227693</v>
          </cell>
          <cell r="P40" t="str">
            <v>4500424899</v>
          </cell>
        </row>
        <row r="41">
          <cell r="B41" t="str">
            <v>0182MWZ</v>
          </cell>
          <cell r="C41" t="str">
            <v>PROPIEDAD</v>
          </cell>
          <cell r="D41" t="str">
            <v>5</v>
          </cell>
          <cell r="E41" t="str">
            <v>PROPIEDAD</v>
          </cell>
          <cell r="F41" t="str">
            <v>ACTIVO</v>
          </cell>
          <cell r="G41" t="str">
            <v>2</v>
          </cell>
          <cell r="H41" t="str">
            <v>1200</v>
          </cell>
          <cell r="I41" t="str">
            <v>EMIVASA</v>
          </cell>
          <cell r="J41">
            <v>3</v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>10227640</v>
          </cell>
          <cell r="P41" t="str">
            <v>4500424881</v>
          </cell>
        </row>
        <row r="42">
          <cell r="B42" t="str">
            <v>0189MWZ</v>
          </cell>
          <cell r="C42" t="str">
            <v>PROPIEDAD</v>
          </cell>
          <cell r="D42" t="str">
            <v>5</v>
          </cell>
          <cell r="E42" t="str">
            <v>PROPIEDAD</v>
          </cell>
          <cell r="F42" t="str">
            <v>ACTIVO</v>
          </cell>
          <cell r="G42" t="str">
            <v>2</v>
          </cell>
          <cell r="H42" t="str">
            <v>1200</v>
          </cell>
          <cell r="I42" t="str">
            <v>EMIVASA</v>
          </cell>
          <cell r="J42">
            <v>4</v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>10227634</v>
          </cell>
          <cell r="P42" t="str">
            <v>4500424878</v>
          </cell>
        </row>
        <row r="43">
          <cell r="B43" t="str">
            <v>0190MWZ</v>
          </cell>
          <cell r="C43" t="str">
            <v>PROPIEDAD</v>
          </cell>
          <cell r="D43" t="str">
            <v>5</v>
          </cell>
          <cell r="E43" t="str">
            <v>PROPIEDAD</v>
          </cell>
          <cell r="F43" t="str">
            <v>ACTIVO</v>
          </cell>
          <cell r="G43" t="str">
            <v>2</v>
          </cell>
          <cell r="H43" t="str">
            <v>1200</v>
          </cell>
          <cell r="I43" t="str">
            <v>EMIVASA</v>
          </cell>
          <cell r="J43">
            <v>5</v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>10227673</v>
          </cell>
          <cell r="P43" t="str">
            <v>4500424892</v>
          </cell>
        </row>
        <row r="44">
          <cell r="B44" t="str">
            <v>0191MWZ</v>
          </cell>
          <cell r="C44" t="str">
            <v>PROPIEDAD</v>
          </cell>
          <cell r="D44" t="str">
            <v>5</v>
          </cell>
          <cell r="E44" t="str">
            <v>PROPIEDAD</v>
          </cell>
          <cell r="F44" t="str">
            <v>ACTIVO</v>
          </cell>
          <cell r="G44" t="str">
            <v>2</v>
          </cell>
          <cell r="H44" t="str">
            <v>1200</v>
          </cell>
          <cell r="I44" t="str">
            <v>EMIVASA</v>
          </cell>
          <cell r="J44">
            <v>6</v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>10227664</v>
          </cell>
          <cell r="P44" t="str">
            <v>4500424887</v>
          </cell>
        </row>
        <row r="45">
          <cell r="B45" t="str">
            <v>0192MWZ</v>
          </cell>
          <cell r="C45" t="str">
            <v>PROPIEDAD</v>
          </cell>
          <cell r="D45" t="str">
            <v>5</v>
          </cell>
          <cell r="E45" t="str">
            <v>PROPIEDAD</v>
          </cell>
          <cell r="F45" t="str">
            <v>ACTIVO</v>
          </cell>
          <cell r="G45" t="str">
            <v>2</v>
          </cell>
          <cell r="H45" t="str">
            <v>1200</v>
          </cell>
          <cell r="I45" t="str">
            <v>EMIVASA</v>
          </cell>
          <cell r="J45">
            <v>7</v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>10226817</v>
          </cell>
          <cell r="P45" t="str">
            <v>4500424864</v>
          </cell>
        </row>
        <row r="46">
          <cell r="B46" t="str">
            <v>0199MWZ</v>
          </cell>
          <cell r="C46" t="str">
            <v>PROPIEDAD</v>
          </cell>
          <cell r="D46" t="str">
            <v>5</v>
          </cell>
          <cell r="E46" t="str">
            <v>PROPIEDAD</v>
          </cell>
          <cell r="F46" t="str">
            <v>ACTIVO</v>
          </cell>
          <cell r="G46" t="str">
            <v>2</v>
          </cell>
          <cell r="H46" t="str">
            <v>1200</v>
          </cell>
          <cell r="I46" t="str">
            <v>EMIVASA</v>
          </cell>
          <cell r="J46">
            <v>8</v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>10227701</v>
          </cell>
          <cell r="P46" t="str">
            <v>4500424904</v>
          </cell>
        </row>
        <row r="47">
          <cell r="B47" t="str">
            <v>0210MWZ</v>
          </cell>
          <cell r="C47" t="str">
            <v>PROPIEDAD</v>
          </cell>
          <cell r="D47" t="str">
            <v>5</v>
          </cell>
          <cell r="E47" t="str">
            <v>PROPIEDAD</v>
          </cell>
          <cell r="F47" t="str">
            <v>ACTIVO</v>
          </cell>
          <cell r="G47" t="str">
            <v>2</v>
          </cell>
          <cell r="H47" t="str">
            <v>1200</v>
          </cell>
          <cell r="I47" t="str">
            <v>EMIVASA</v>
          </cell>
          <cell r="J47">
            <v>9</v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>10227699</v>
          </cell>
          <cell r="P47" t="str">
            <v>4500424902</v>
          </cell>
        </row>
        <row r="48">
          <cell r="B48" t="str">
            <v>0213MWZ</v>
          </cell>
          <cell r="C48" t="str">
            <v>PROPIEDAD</v>
          </cell>
          <cell r="D48" t="str">
            <v>5</v>
          </cell>
          <cell r="E48" t="str">
            <v>PROPIEDAD</v>
          </cell>
          <cell r="F48" t="str">
            <v>ACTIVO</v>
          </cell>
          <cell r="G48" t="str">
            <v>2</v>
          </cell>
          <cell r="H48" t="str">
            <v>1200</v>
          </cell>
          <cell r="I48" t="str">
            <v>EMIVASA</v>
          </cell>
          <cell r="J48">
            <v>10</v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>10227419</v>
          </cell>
          <cell r="P48" t="str">
            <v>4500424867</v>
          </cell>
        </row>
        <row r="49">
          <cell r="B49" t="str">
            <v>0224MWZ</v>
          </cell>
          <cell r="C49" t="str">
            <v>PROPIEDAD</v>
          </cell>
          <cell r="D49" t="str">
            <v>5</v>
          </cell>
          <cell r="E49" t="str">
            <v>PROPIEDAD</v>
          </cell>
          <cell r="F49" t="str">
            <v>ACTIVO</v>
          </cell>
          <cell r="G49" t="str">
            <v>2</v>
          </cell>
          <cell r="H49" t="str">
            <v>1200</v>
          </cell>
          <cell r="I49" t="str">
            <v>EMIVASA</v>
          </cell>
          <cell r="J49">
            <v>11</v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>10227663</v>
          </cell>
          <cell r="P49" t="str">
            <v>4500424886</v>
          </cell>
        </row>
        <row r="50">
          <cell r="B50" t="str">
            <v>0649MWZ</v>
          </cell>
          <cell r="C50" t="str">
            <v>PROPIEDAD</v>
          </cell>
          <cell r="D50" t="str">
            <v>5</v>
          </cell>
          <cell r="E50" t="str">
            <v>PROPIEDAD</v>
          </cell>
          <cell r="F50" t="str">
            <v>ACTIVO</v>
          </cell>
          <cell r="G50" t="str">
            <v>2</v>
          </cell>
          <cell r="H50" t="str">
            <v>1200</v>
          </cell>
          <cell r="I50" t="str">
            <v>EMIVASA</v>
          </cell>
          <cell r="J50">
            <v>12</v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>10227677</v>
          </cell>
          <cell r="P50" t="str">
            <v>4500424895</v>
          </cell>
        </row>
        <row r="51">
          <cell r="B51" t="str">
            <v>0650MXH</v>
          </cell>
          <cell r="C51" t="str">
            <v>PROPIEDAD</v>
          </cell>
          <cell r="D51" t="str">
            <v>5</v>
          </cell>
          <cell r="E51" t="str">
            <v>PROPIEDAD</v>
          </cell>
          <cell r="F51" t="str">
            <v>ACTIVO</v>
          </cell>
          <cell r="G51" t="str">
            <v>2</v>
          </cell>
          <cell r="H51" t="str">
            <v>1021</v>
          </cell>
          <cell r="I51" t="str">
            <v>MEDICION AVANZADA CONTAD.</v>
          </cell>
          <cell r="J51">
            <v>2</v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>10229054</v>
          </cell>
          <cell r="P51" t="str">
            <v>4500426848</v>
          </cell>
        </row>
        <row r="52">
          <cell r="B52" t="str">
            <v>0677MWF</v>
          </cell>
          <cell r="C52" t="str">
            <v>PROPIEDAD</v>
          </cell>
          <cell r="D52" t="str">
            <v>5</v>
          </cell>
          <cell r="E52" t="str">
            <v>PROPIEDAD</v>
          </cell>
          <cell r="F52" t="str">
            <v>ACTIVO</v>
          </cell>
          <cell r="G52" t="str">
            <v>2</v>
          </cell>
          <cell r="H52" t="str">
            <v>1009</v>
          </cell>
          <cell r="I52" t="str">
            <v>GAMASER</v>
          </cell>
          <cell r="J52">
            <v>2</v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>10218115</v>
          </cell>
          <cell r="P52" t="str">
            <v/>
          </cell>
        </row>
        <row r="53">
          <cell r="B53" t="str">
            <v>0679MWF</v>
          </cell>
          <cell r="C53" t="str">
            <v>PROPIEDAD</v>
          </cell>
          <cell r="D53" t="str">
            <v>5</v>
          </cell>
          <cell r="E53" t="str">
            <v>PROPIEDAD</v>
          </cell>
          <cell r="F53" t="str">
            <v>ACTIVO</v>
          </cell>
          <cell r="G53" t="str">
            <v>2</v>
          </cell>
          <cell r="H53" t="str">
            <v>1053</v>
          </cell>
          <cell r="I53" t="str">
            <v>ISG</v>
          </cell>
          <cell r="J53">
            <v>1</v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>10219156</v>
          </cell>
          <cell r="P53" t="str">
            <v/>
          </cell>
        </row>
        <row r="54">
          <cell r="B54" t="str">
            <v>0682MWF</v>
          </cell>
          <cell r="C54" t="str">
            <v>PROPIEDAD</v>
          </cell>
          <cell r="D54" t="str">
            <v>5</v>
          </cell>
          <cell r="E54" t="str">
            <v>PROPIEDAD</v>
          </cell>
          <cell r="F54" t="str">
            <v>ACTIVO</v>
          </cell>
          <cell r="G54" t="str">
            <v>2</v>
          </cell>
          <cell r="H54" t="str">
            <v>1066</v>
          </cell>
          <cell r="I54" t="str">
            <v>CANALIZ. CIVILES S.A.</v>
          </cell>
          <cell r="J54">
            <v>1</v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>10222992</v>
          </cell>
          <cell r="P54" t="str">
            <v/>
          </cell>
        </row>
        <row r="55">
          <cell r="B55" t="str">
            <v>0686MWT</v>
          </cell>
          <cell r="C55" t="str">
            <v>PROPIEDAD</v>
          </cell>
          <cell r="D55" t="str">
            <v>5</v>
          </cell>
          <cell r="E55" t="str">
            <v>PROPIEDAD</v>
          </cell>
          <cell r="F55" t="str">
            <v>ACTIVO</v>
          </cell>
          <cell r="G55" t="str">
            <v>2</v>
          </cell>
          <cell r="H55" t="str">
            <v>1021</v>
          </cell>
          <cell r="I55" t="str">
            <v>MEDICION AVANZADA CONTAD.</v>
          </cell>
          <cell r="J55">
            <v>3</v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>10229016</v>
          </cell>
          <cell r="P55" t="str">
            <v>4500426791</v>
          </cell>
        </row>
        <row r="56">
          <cell r="B56" t="str">
            <v>0692MWT</v>
          </cell>
          <cell r="C56" t="str">
            <v>PROPIEDAD</v>
          </cell>
          <cell r="D56" t="str">
            <v>5</v>
          </cell>
          <cell r="E56" t="str">
            <v>PROPIEDAD</v>
          </cell>
          <cell r="F56" t="str">
            <v>ACTIVO</v>
          </cell>
          <cell r="G56" t="str">
            <v>2</v>
          </cell>
          <cell r="H56" t="str">
            <v>1021</v>
          </cell>
          <cell r="I56" t="str">
            <v>MEDICION AVANZADA CONTAD.</v>
          </cell>
          <cell r="J56">
            <v>4</v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>10229021</v>
          </cell>
          <cell r="P56" t="str">
            <v>4500426794</v>
          </cell>
        </row>
        <row r="57">
          <cell r="B57" t="str">
            <v>0693MWT</v>
          </cell>
          <cell r="C57" t="str">
            <v>PROPIEDAD</v>
          </cell>
          <cell r="D57" t="str">
            <v>5</v>
          </cell>
          <cell r="E57" t="str">
            <v>PROPIEDAD</v>
          </cell>
          <cell r="F57" t="str">
            <v>ACTIVO</v>
          </cell>
          <cell r="G57" t="str">
            <v>2</v>
          </cell>
          <cell r="H57" t="str">
            <v>1021</v>
          </cell>
          <cell r="I57" t="str">
            <v>MEDICION AVANZADA CONTAD.</v>
          </cell>
          <cell r="J57">
            <v>5</v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>10229012</v>
          </cell>
          <cell r="P57" t="str">
            <v>4500426790</v>
          </cell>
        </row>
        <row r="58">
          <cell r="B58" t="str">
            <v>0695MWT</v>
          </cell>
          <cell r="C58" t="str">
            <v>PROPIEDAD</v>
          </cell>
          <cell r="D58" t="str">
            <v>5</v>
          </cell>
          <cell r="E58" t="str">
            <v>PROPIEDAD</v>
          </cell>
          <cell r="F58" t="str">
            <v>ACTIVO</v>
          </cell>
          <cell r="G58" t="str">
            <v>2</v>
          </cell>
          <cell r="H58" t="str">
            <v>1021</v>
          </cell>
          <cell r="I58" t="str">
            <v>MEDICION AVANZADA CONTAD.</v>
          </cell>
          <cell r="J58">
            <v>6</v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>10229047</v>
          </cell>
          <cell r="P58" t="str">
            <v>4500426841</v>
          </cell>
        </row>
        <row r="59">
          <cell r="B59" t="str">
            <v>0696MWT</v>
          </cell>
          <cell r="C59" t="str">
            <v>PROPIEDAD</v>
          </cell>
          <cell r="D59" t="str">
            <v>5</v>
          </cell>
          <cell r="E59" t="str">
            <v>PROPIEDAD</v>
          </cell>
          <cell r="F59" t="str">
            <v>ACTIVO</v>
          </cell>
          <cell r="G59" t="str">
            <v>2</v>
          </cell>
          <cell r="H59" t="str">
            <v>1021</v>
          </cell>
          <cell r="I59" t="str">
            <v>MEDICION AVANZADA CONTAD.</v>
          </cell>
          <cell r="J59">
            <v>7</v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>10228811</v>
          </cell>
          <cell r="P59" t="str">
            <v>4500426762</v>
          </cell>
        </row>
        <row r="60">
          <cell r="B60" t="str">
            <v>0699MWT</v>
          </cell>
          <cell r="C60" t="str">
            <v>PROPIEDAD</v>
          </cell>
          <cell r="D60" t="str">
            <v>5</v>
          </cell>
          <cell r="E60" t="str">
            <v>PROPIEDAD</v>
          </cell>
          <cell r="F60" t="str">
            <v>ACTIVO</v>
          </cell>
          <cell r="G60" t="str">
            <v>2</v>
          </cell>
          <cell r="H60" t="str">
            <v>1021</v>
          </cell>
          <cell r="I60" t="str">
            <v>MEDICION AVANZADA CONTAD.</v>
          </cell>
          <cell r="J60">
            <v>8</v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>10228962</v>
          </cell>
          <cell r="P60" t="str">
            <v>4500426781</v>
          </cell>
        </row>
        <row r="61">
          <cell r="B61" t="str">
            <v>0700MWT</v>
          </cell>
          <cell r="C61" t="str">
            <v>PROPIEDAD</v>
          </cell>
          <cell r="D61" t="str">
            <v>5</v>
          </cell>
          <cell r="E61" t="str">
            <v>PROPIEDAD</v>
          </cell>
          <cell r="F61" t="str">
            <v>ACTIVO</v>
          </cell>
          <cell r="G61" t="str">
            <v>2</v>
          </cell>
          <cell r="H61" t="str">
            <v>1021</v>
          </cell>
          <cell r="I61" t="str">
            <v>MEDICION AVANZADA CONTAD.</v>
          </cell>
          <cell r="J61">
            <v>9</v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>10229018</v>
          </cell>
          <cell r="P61" t="str">
            <v>4500426792</v>
          </cell>
        </row>
        <row r="62">
          <cell r="B62" t="str">
            <v>0701MWT</v>
          </cell>
          <cell r="C62" t="str">
            <v>PROPIEDAD</v>
          </cell>
          <cell r="D62" t="str">
            <v>5</v>
          </cell>
          <cell r="E62" t="str">
            <v>PROPIEDAD</v>
          </cell>
          <cell r="F62" t="str">
            <v>ACTIVO</v>
          </cell>
          <cell r="G62" t="str">
            <v>2</v>
          </cell>
          <cell r="H62" t="str">
            <v>1021</v>
          </cell>
          <cell r="I62" t="str">
            <v>MEDICION AVANZADA CONTAD.</v>
          </cell>
          <cell r="J62">
            <v>10</v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>10229046</v>
          </cell>
          <cell r="P62" t="str">
            <v>4500426840</v>
          </cell>
        </row>
        <row r="63">
          <cell r="B63" t="str">
            <v>0773MXH</v>
          </cell>
          <cell r="C63" t="str">
            <v>PROPIEDAD</v>
          </cell>
          <cell r="D63" t="str">
            <v>5</v>
          </cell>
          <cell r="E63" t="str">
            <v>PROPIEDAD</v>
          </cell>
          <cell r="F63" t="str">
            <v>ACTIVO</v>
          </cell>
          <cell r="G63" t="str">
            <v>2</v>
          </cell>
          <cell r="H63" t="str">
            <v>1021</v>
          </cell>
          <cell r="I63" t="str">
            <v>MEDICION AVANZADA CONTAD.</v>
          </cell>
          <cell r="J63">
            <v>11</v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>10229055</v>
          </cell>
          <cell r="P63" t="str">
            <v>4500426849</v>
          </cell>
        </row>
        <row r="64">
          <cell r="B64" t="str">
            <v>0823MXH</v>
          </cell>
          <cell r="C64" t="str">
            <v>PROPIEDAD</v>
          </cell>
          <cell r="D64" t="str">
            <v>5</v>
          </cell>
          <cell r="E64" t="str">
            <v>PROPIEDAD</v>
          </cell>
          <cell r="F64" t="str">
            <v>ACTIVO</v>
          </cell>
          <cell r="G64" t="str">
            <v>2</v>
          </cell>
          <cell r="H64" t="str">
            <v>1021</v>
          </cell>
          <cell r="I64" t="str">
            <v>MEDICION AVANZADA CONTAD.</v>
          </cell>
          <cell r="J64">
            <v>12</v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>10229222</v>
          </cell>
          <cell r="P64" t="str">
            <v>4500426870</v>
          </cell>
        </row>
        <row r="65">
          <cell r="B65" t="str">
            <v>0971MXH</v>
          </cell>
          <cell r="C65" t="str">
            <v>PROPIEDAD</v>
          </cell>
          <cell r="D65" t="str">
            <v>5</v>
          </cell>
          <cell r="E65" t="str">
            <v>PROPIEDAD</v>
          </cell>
          <cell r="F65" t="str">
            <v>ACTIVO</v>
          </cell>
          <cell r="G65" t="str">
            <v>2</v>
          </cell>
          <cell r="H65" t="str">
            <v>1021</v>
          </cell>
          <cell r="I65" t="str">
            <v>MEDICION AVANZADA CONTAD.</v>
          </cell>
          <cell r="J65">
            <v>13</v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>10229053</v>
          </cell>
          <cell r="P65" t="str">
            <v>4500426847</v>
          </cell>
        </row>
        <row r="66">
          <cell r="B66" t="str">
            <v>1066MWL</v>
          </cell>
          <cell r="C66" t="str">
            <v>PROPIEDAD</v>
          </cell>
          <cell r="D66" t="str">
            <v>5</v>
          </cell>
          <cell r="E66" t="str">
            <v>PROPIEDAD</v>
          </cell>
          <cell r="F66" t="str">
            <v>ACTIVO</v>
          </cell>
          <cell r="G66" t="str">
            <v>2</v>
          </cell>
          <cell r="H66" t="str">
            <v>1505</v>
          </cell>
          <cell r="I66" t="str">
            <v>CGAC</v>
          </cell>
          <cell r="J66">
            <v>31</v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>10224970</v>
          </cell>
          <cell r="P66" t="str">
            <v>X</v>
          </cell>
        </row>
        <row r="67">
          <cell r="B67" t="str">
            <v>1108KHK</v>
          </cell>
          <cell r="C67" t="str">
            <v>PROPIEDAD</v>
          </cell>
          <cell r="D67" t="str">
            <v>5</v>
          </cell>
          <cell r="E67" t="str">
            <v>PROPIEDAD</v>
          </cell>
          <cell r="F67" t="str">
            <v>ACTIVO</v>
          </cell>
          <cell r="G67" t="str">
            <v>2</v>
          </cell>
          <cell r="H67" t="str">
            <v>1004</v>
          </cell>
          <cell r="I67" t="str">
            <v>G.O.MEDIOAMBIENTE S.L.</v>
          </cell>
          <cell r="J67">
            <v>3</v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>10208968</v>
          </cell>
          <cell r="P67" t="str">
            <v>4500408050</v>
          </cell>
        </row>
        <row r="68">
          <cell r="B68" t="str">
            <v>1165MSX</v>
          </cell>
          <cell r="C68" t="str">
            <v>PROPIEDAD</v>
          </cell>
          <cell r="D68" t="str">
            <v>5</v>
          </cell>
          <cell r="E68" t="str">
            <v>PROPIEDAD</v>
          </cell>
          <cell r="F68" t="str">
            <v>ACTIVO</v>
          </cell>
          <cell r="G68" t="str">
            <v>2</v>
          </cell>
          <cell r="H68" t="str">
            <v>1004</v>
          </cell>
          <cell r="I68" t="str">
            <v>G.O.MEDIOAMBIENTE S.L.</v>
          </cell>
          <cell r="J68">
            <v>4</v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>10208975</v>
          </cell>
          <cell r="P68" t="str">
            <v>X</v>
          </cell>
        </row>
        <row r="69">
          <cell r="B69" t="str">
            <v>1177MSX</v>
          </cell>
          <cell r="C69" t="str">
            <v>PROPIEDAD</v>
          </cell>
          <cell r="D69" t="str">
            <v>5</v>
          </cell>
          <cell r="E69" t="str">
            <v>PROPIEDAD</v>
          </cell>
          <cell r="F69" t="str">
            <v>ACTIVO</v>
          </cell>
          <cell r="G69" t="str">
            <v>2</v>
          </cell>
          <cell r="H69" t="str">
            <v>1004</v>
          </cell>
          <cell r="I69" t="str">
            <v>G.O.MEDIOAMBIENTE S.L.</v>
          </cell>
          <cell r="J69">
            <v>5</v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>10208979</v>
          </cell>
          <cell r="P69" t="str">
            <v>X</v>
          </cell>
        </row>
        <row r="70">
          <cell r="B70" t="str">
            <v>1178MSX</v>
          </cell>
          <cell r="C70" t="str">
            <v>PROPIEDAD</v>
          </cell>
          <cell r="D70" t="str">
            <v>5</v>
          </cell>
          <cell r="E70" t="str">
            <v>PROPIEDAD</v>
          </cell>
          <cell r="F70" t="str">
            <v>ACTIVO</v>
          </cell>
          <cell r="G70" t="str">
            <v>2</v>
          </cell>
          <cell r="H70" t="str">
            <v>1004</v>
          </cell>
          <cell r="I70" t="str">
            <v>G.O.MEDIOAMBIENTE S.L.</v>
          </cell>
          <cell r="J70">
            <v>6</v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>10208972</v>
          </cell>
          <cell r="P70" t="str">
            <v>X</v>
          </cell>
        </row>
        <row r="71">
          <cell r="B71" t="str">
            <v>2704MXG</v>
          </cell>
          <cell r="C71" t="str">
            <v>PROPIEDAD</v>
          </cell>
          <cell r="D71" t="str">
            <v>5</v>
          </cell>
          <cell r="E71" t="str">
            <v>PROPIEDAD</v>
          </cell>
          <cell r="F71" t="str">
            <v>ACTIVO</v>
          </cell>
          <cell r="G71" t="str">
            <v>2</v>
          </cell>
          <cell r="H71" t="str">
            <v>1001</v>
          </cell>
          <cell r="I71" t="str">
            <v>AVSA</v>
          </cell>
          <cell r="J71">
            <v>1</v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>10229052</v>
          </cell>
          <cell r="P71" t="str">
            <v>4500426846</v>
          </cell>
        </row>
        <row r="72">
          <cell r="B72" t="str">
            <v>2705MXG</v>
          </cell>
          <cell r="C72" t="str">
            <v>PROPIEDAD</v>
          </cell>
          <cell r="D72" t="str">
            <v>5</v>
          </cell>
          <cell r="E72" t="str">
            <v>PROPIEDAD</v>
          </cell>
          <cell r="F72" t="str">
            <v>ACTIVO</v>
          </cell>
          <cell r="G72" t="str">
            <v>2</v>
          </cell>
          <cell r="H72" t="str">
            <v>1001</v>
          </cell>
          <cell r="I72" t="str">
            <v>AVSA</v>
          </cell>
          <cell r="J72">
            <v>2</v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>10229231</v>
          </cell>
          <cell r="P72" t="str">
            <v>4500426873</v>
          </cell>
        </row>
        <row r="73">
          <cell r="B73" t="str">
            <v>2717MXG</v>
          </cell>
          <cell r="C73" t="str">
            <v>PROPIEDAD</v>
          </cell>
          <cell r="D73" t="str">
            <v>5</v>
          </cell>
          <cell r="E73" t="str">
            <v>PROPIEDAD</v>
          </cell>
          <cell r="F73" t="str">
            <v>ACTIVO</v>
          </cell>
          <cell r="G73" t="str">
            <v>2</v>
          </cell>
          <cell r="H73" t="str">
            <v>1001</v>
          </cell>
          <cell r="I73" t="str">
            <v>AVSA</v>
          </cell>
          <cell r="J73">
            <v>3</v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>10229022</v>
          </cell>
          <cell r="P73" t="str">
            <v>4500426795</v>
          </cell>
        </row>
        <row r="74">
          <cell r="B74" t="str">
            <v>2720MWP</v>
          </cell>
          <cell r="C74" t="str">
            <v>PROPIEDAD</v>
          </cell>
          <cell r="D74" t="str">
            <v>5</v>
          </cell>
          <cell r="E74" t="str">
            <v>PROPIEDAD</v>
          </cell>
          <cell r="F74" t="str">
            <v>ACTIVO</v>
          </cell>
          <cell r="G74" t="str">
            <v>2</v>
          </cell>
          <cell r="H74" t="str">
            <v>1001</v>
          </cell>
          <cell r="I74" t="str">
            <v>AVSA</v>
          </cell>
          <cell r="J74">
            <v>4</v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>10226809</v>
          </cell>
          <cell r="P74" t="str">
            <v>4500424788</v>
          </cell>
        </row>
        <row r="75">
          <cell r="B75" t="str">
            <v>2722MXG</v>
          </cell>
          <cell r="C75" t="str">
            <v>PROPIEDAD</v>
          </cell>
          <cell r="D75" t="str">
            <v>5</v>
          </cell>
          <cell r="E75" t="str">
            <v>PROPIEDAD</v>
          </cell>
          <cell r="F75" t="str">
            <v>ACTIVO</v>
          </cell>
          <cell r="G75" t="str">
            <v>2</v>
          </cell>
          <cell r="H75" t="str">
            <v>1001</v>
          </cell>
          <cell r="I75" t="str">
            <v>AVSA</v>
          </cell>
          <cell r="J75">
            <v>5</v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>10229020</v>
          </cell>
          <cell r="P75" t="str">
            <v>4500426793</v>
          </cell>
        </row>
        <row r="76">
          <cell r="B76" t="str">
            <v>2732MWP</v>
          </cell>
          <cell r="C76" t="str">
            <v>PROPIEDAD</v>
          </cell>
          <cell r="D76" t="str">
            <v>5</v>
          </cell>
          <cell r="E76" t="str">
            <v>PROPIEDAD</v>
          </cell>
          <cell r="F76" t="str">
            <v>ACTIVO</v>
          </cell>
          <cell r="G76" t="str">
            <v>2</v>
          </cell>
          <cell r="H76" t="str">
            <v>1001</v>
          </cell>
          <cell r="I76" t="str">
            <v>AVSA</v>
          </cell>
          <cell r="J76">
            <v>6</v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>10227423</v>
          </cell>
          <cell r="P76" t="str">
            <v>4500424775</v>
          </cell>
        </row>
        <row r="77">
          <cell r="B77" t="str">
            <v>2737MXG</v>
          </cell>
          <cell r="C77" t="str">
            <v>PROPIEDAD</v>
          </cell>
          <cell r="D77" t="str">
            <v>5</v>
          </cell>
          <cell r="E77" t="str">
            <v>PROPIEDAD</v>
          </cell>
          <cell r="F77" t="str">
            <v>ACTIVO</v>
          </cell>
          <cell r="G77" t="str">
            <v>2</v>
          </cell>
          <cell r="H77" t="str">
            <v>1001</v>
          </cell>
          <cell r="I77" t="str">
            <v>AVSA</v>
          </cell>
          <cell r="J77">
            <v>7</v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>10229002</v>
          </cell>
          <cell r="P77" t="str">
            <v>4500426786</v>
          </cell>
        </row>
        <row r="78">
          <cell r="B78" t="str">
            <v>2788MXG</v>
          </cell>
          <cell r="C78" t="str">
            <v>PROPIEDAD</v>
          </cell>
          <cell r="D78" t="str">
            <v>5</v>
          </cell>
          <cell r="E78" t="str">
            <v>PROPIEDAD</v>
          </cell>
          <cell r="F78" t="str">
            <v>ACTIVO</v>
          </cell>
          <cell r="G78" t="str">
            <v>2</v>
          </cell>
          <cell r="H78" t="str">
            <v>1001</v>
          </cell>
          <cell r="I78" t="str">
            <v>AVSA</v>
          </cell>
          <cell r="J78">
            <v>8</v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>10229239</v>
          </cell>
          <cell r="P78" t="str">
            <v>4500426876</v>
          </cell>
        </row>
        <row r="79">
          <cell r="B79" t="str">
            <v>3020MRW</v>
          </cell>
          <cell r="C79" t="str">
            <v>PROPIEDAD</v>
          </cell>
          <cell r="D79" t="str">
            <v>5</v>
          </cell>
          <cell r="E79" t="str">
            <v>PROPIEDAD</v>
          </cell>
          <cell r="F79" t="str">
            <v>ACTIVO</v>
          </cell>
          <cell r="G79" t="str">
            <v>2</v>
          </cell>
          <cell r="H79" t="str">
            <v>1070</v>
          </cell>
          <cell r="I79" t="str">
            <v>TRAKTA CONTROL Y TRATAM.</v>
          </cell>
          <cell r="J79">
            <v>1</v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>X</v>
          </cell>
          <cell r="P79" t="str">
            <v>X</v>
          </cell>
        </row>
        <row r="80">
          <cell r="B80" t="str">
            <v>3095MWZ</v>
          </cell>
          <cell r="C80" t="str">
            <v>PROPIEDAD</v>
          </cell>
          <cell r="D80" t="str">
            <v>5</v>
          </cell>
          <cell r="E80" t="str">
            <v>PROPIEDAD</v>
          </cell>
          <cell r="F80" t="str">
            <v>ACTIVO</v>
          </cell>
          <cell r="G80" t="str">
            <v>2</v>
          </cell>
          <cell r="H80" t="str">
            <v>1200</v>
          </cell>
          <cell r="I80" t="str">
            <v>EMIVASA</v>
          </cell>
          <cell r="J80">
            <v>13</v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>10227645</v>
          </cell>
          <cell r="P80" t="str">
            <v>4500424883</v>
          </cell>
        </row>
        <row r="81">
          <cell r="B81" t="str">
            <v>3103MXJ</v>
          </cell>
          <cell r="C81" t="str">
            <v>PROPIEDAD</v>
          </cell>
          <cell r="D81" t="str">
            <v>5</v>
          </cell>
          <cell r="E81" t="str">
            <v>PROPIEDAD</v>
          </cell>
          <cell r="F81" t="str">
            <v>ACTIVO</v>
          </cell>
          <cell r="G81" t="str">
            <v>2</v>
          </cell>
          <cell r="H81" t="str">
            <v>1064</v>
          </cell>
          <cell r="I81" t="str">
            <v>AYWA SER.AMBIENTALES SL</v>
          </cell>
          <cell r="J81">
            <v>1</v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>X</v>
          </cell>
          <cell r="P81" t="str">
            <v>X</v>
          </cell>
        </row>
        <row r="82">
          <cell r="B82" t="str">
            <v>3105MWZ</v>
          </cell>
          <cell r="C82" t="str">
            <v>PROPIEDAD</v>
          </cell>
          <cell r="D82" t="str">
            <v>5</v>
          </cell>
          <cell r="E82" t="str">
            <v>PROPIEDAD</v>
          </cell>
          <cell r="F82" t="str">
            <v>ACTIVO</v>
          </cell>
          <cell r="G82" t="str">
            <v>2</v>
          </cell>
          <cell r="H82" t="str">
            <v>1200</v>
          </cell>
          <cell r="I82" t="str">
            <v>EMIVASA</v>
          </cell>
          <cell r="J82">
            <v>14</v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>10227633</v>
          </cell>
          <cell r="P82" t="str">
            <v>4500424877</v>
          </cell>
        </row>
        <row r="83">
          <cell r="B83" t="str">
            <v>3111MWZ</v>
          </cell>
          <cell r="C83" t="str">
            <v>PROPIEDAD</v>
          </cell>
          <cell r="D83" t="str">
            <v>5</v>
          </cell>
          <cell r="E83" t="str">
            <v>PROPIEDAD</v>
          </cell>
          <cell r="F83" t="str">
            <v>ACTIVO</v>
          </cell>
          <cell r="G83" t="str">
            <v>2</v>
          </cell>
          <cell r="H83" t="str">
            <v>1200</v>
          </cell>
          <cell r="I83" t="str">
            <v>EMIVASA</v>
          </cell>
          <cell r="J83">
            <v>15</v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>10227675</v>
          </cell>
          <cell r="P83" t="str">
            <v>4500424893</v>
          </cell>
        </row>
        <row r="84">
          <cell r="B84" t="str">
            <v>3116MXJ</v>
          </cell>
          <cell r="C84" t="str">
            <v>PROPIEDAD</v>
          </cell>
          <cell r="D84" t="str">
            <v>5</v>
          </cell>
          <cell r="E84" t="str">
            <v>PROPIEDAD</v>
          </cell>
          <cell r="F84" t="str">
            <v>ACTIVO</v>
          </cell>
          <cell r="G84" t="str">
            <v>2</v>
          </cell>
          <cell r="H84" t="str">
            <v>1004</v>
          </cell>
          <cell r="I84" t="str">
            <v>G.O.MEDIOAMBIENTE S.L.</v>
          </cell>
          <cell r="J84">
            <v>7</v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>10229056</v>
          </cell>
          <cell r="P84" t="str">
            <v>4500426850</v>
          </cell>
        </row>
        <row r="85">
          <cell r="B85" t="str">
            <v>3121MWZ</v>
          </cell>
          <cell r="C85" t="str">
            <v>PROPIEDAD</v>
          </cell>
          <cell r="D85" t="str">
            <v>5</v>
          </cell>
          <cell r="E85" t="str">
            <v>PROPIEDAD</v>
          </cell>
          <cell r="F85" t="str">
            <v>ACTIVO</v>
          </cell>
          <cell r="G85" t="str">
            <v>2</v>
          </cell>
          <cell r="H85" t="str">
            <v>1200</v>
          </cell>
          <cell r="I85" t="str">
            <v>EMIVASA</v>
          </cell>
          <cell r="J85">
            <v>16</v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>10227687</v>
          </cell>
          <cell r="P85" t="str">
            <v>4500424898</v>
          </cell>
        </row>
        <row r="86">
          <cell r="B86" t="str">
            <v>3122MWZ</v>
          </cell>
          <cell r="C86" t="str">
            <v>PROPIEDAD</v>
          </cell>
          <cell r="D86" t="str">
            <v>5</v>
          </cell>
          <cell r="E86" t="str">
            <v>PROPIEDAD</v>
          </cell>
          <cell r="F86" t="str">
            <v>ACTIVO</v>
          </cell>
          <cell r="G86" t="str">
            <v>2</v>
          </cell>
          <cell r="H86" t="str">
            <v>1200</v>
          </cell>
          <cell r="I86" t="str">
            <v>EMIVASA</v>
          </cell>
          <cell r="J86">
            <v>17</v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>10227669</v>
          </cell>
          <cell r="P86" t="str">
            <v>4500424889</v>
          </cell>
        </row>
        <row r="87">
          <cell r="B87" t="str">
            <v>3133MWZ</v>
          </cell>
          <cell r="C87" t="str">
            <v>PROPIEDAD</v>
          </cell>
          <cell r="D87" t="str">
            <v>5</v>
          </cell>
          <cell r="E87" t="str">
            <v>PROPIEDAD</v>
          </cell>
          <cell r="F87" t="str">
            <v>ACTIVO</v>
          </cell>
          <cell r="G87" t="str">
            <v>2</v>
          </cell>
          <cell r="H87" t="str">
            <v>1200</v>
          </cell>
          <cell r="I87" t="str">
            <v>EMIVASA</v>
          </cell>
          <cell r="J87">
            <v>18</v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>10227680</v>
          </cell>
          <cell r="P87" t="str">
            <v>4500424896</v>
          </cell>
        </row>
        <row r="88">
          <cell r="B88" t="str">
            <v>3143MWZ</v>
          </cell>
          <cell r="C88" t="str">
            <v>PROPIEDAD</v>
          </cell>
          <cell r="D88" t="str">
            <v>5</v>
          </cell>
          <cell r="E88" t="str">
            <v>PROPIEDAD</v>
          </cell>
          <cell r="F88" t="str">
            <v>ACTIVO</v>
          </cell>
          <cell r="G88" t="str">
            <v>2</v>
          </cell>
          <cell r="H88" t="str">
            <v>1200</v>
          </cell>
          <cell r="I88" t="str">
            <v>EMIVASA</v>
          </cell>
          <cell r="J88">
            <v>19</v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>10227648</v>
          </cell>
          <cell r="P88" t="str">
            <v>4500424885</v>
          </cell>
        </row>
        <row r="89">
          <cell r="B89" t="str">
            <v>3147MXJ</v>
          </cell>
          <cell r="C89" t="str">
            <v>PROPIEDAD</v>
          </cell>
          <cell r="D89" t="str">
            <v>5</v>
          </cell>
          <cell r="E89" t="str">
            <v>PROPIEDAD</v>
          </cell>
          <cell r="F89" t="str">
            <v>ACTIVO</v>
          </cell>
          <cell r="G89" t="str">
            <v>2</v>
          </cell>
          <cell r="H89" t="str">
            <v>1064</v>
          </cell>
          <cell r="I89" t="str">
            <v>AYWA SER.AMBIENTALES SL</v>
          </cell>
          <cell r="J89">
            <v>2</v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>X</v>
          </cell>
          <cell r="P89" t="str">
            <v>X</v>
          </cell>
        </row>
        <row r="90">
          <cell r="B90" t="str">
            <v>3148MWZ</v>
          </cell>
          <cell r="C90" t="str">
            <v>PROPIEDAD</v>
          </cell>
          <cell r="D90" t="str">
            <v>5</v>
          </cell>
          <cell r="E90" t="str">
            <v>PROPIEDAD</v>
          </cell>
          <cell r="F90" t="str">
            <v>ACTIVO</v>
          </cell>
          <cell r="G90" t="str">
            <v>2</v>
          </cell>
          <cell r="H90" t="str">
            <v>1200</v>
          </cell>
          <cell r="I90" t="str">
            <v>EMIVASA</v>
          </cell>
          <cell r="J90">
            <v>20</v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>10227632</v>
          </cell>
          <cell r="P90" t="str">
            <v>4500424876</v>
          </cell>
        </row>
        <row r="91">
          <cell r="B91" t="str">
            <v>3154MXJ</v>
          </cell>
          <cell r="C91" t="str">
            <v>PROPIEDAD</v>
          </cell>
          <cell r="D91" t="str">
            <v>5</v>
          </cell>
          <cell r="E91" t="str">
            <v>PROPIEDAD</v>
          </cell>
          <cell r="F91" t="str">
            <v>ACTIVO</v>
          </cell>
          <cell r="G91" t="str">
            <v>2</v>
          </cell>
          <cell r="H91" t="str">
            <v>1064</v>
          </cell>
          <cell r="I91" t="str">
            <v>AYWA SER.AMBIENTALES SL</v>
          </cell>
          <cell r="J91">
            <v>3</v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>X</v>
          </cell>
          <cell r="P91" t="str">
            <v>X</v>
          </cell>
        </row>
        <row r="92">
          <cell r="B92" t="str">
            <v>3155MWZ</v>
          </cell>
          <cell r="C92" t="str">
            <v>PROPIEDAD</v>
          </cell>
          <cell r="D92" t="str">
            <v>5</v>
          </cell>
          <cell r="E92" t="str">
            <v>PROPIEDAD</v>
          </cell>
          <cell r="F92" t="str">
            <v>ACTIVO</v>
          </cell>
          <cell r="G92" t="str">
            <v>2</v>
          </cell>
          <cell r="H92" t="str">
            <v>1200</v>
          </cell>
          <cell r="I92" t="str">
            <v>EMIVASA</v>
          </cell>
          <cell r="J92">
            <v>21</v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>10227629</v>
          </cell>
          <cell r="P92" t="str">
            <v>4500424874</v>
          </cell>
        </row>
        <row r="93">
          <cell r="B93" t="str">
            <v>3157MXJ</v>
          </cell>
          <cell r="C93" t="str">
            <v>PROPIEDAD</v>
          </cell>
          <cell r="D93" t="str">
            <v>5</v>
          </cell>
          <cell r="E93" t="str">
            <v>PROPIEDAD</v>
          </cell>
          <cell r="F93" t="str">
            <v>ACTIVO</v>
          </cell>
          <cell r="G93" t="str">
            <v>2</v>
          </cell>
          <cell r="H93" t="str">
            <v>1400</v>
          </cell>
          <cell r="I93" t="str">
            <v>EGEVASA</v>
          </cell>
          <cell r="J93">
            <v>1</v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>10230128</v>
          </cell>
          <cell r="P93" t="str">
            <v>4500427622</v>
          </cell>
        </row>
        <row r="94">
          <cell r="B94" t="str">
            <v>3160MWZ</v>
          </cell>
          <cell r="C94" t="str">
            <v>PROPIEDAD</v>
          </cell>
          <cell r="D94" t="str">
            <v>5</v>
          </cell>
          <cell r="E94" t="str">
            <v>PROPIEDAD</v>
          </cell>
          <cell r="F94" t="str">
            <v>ACTIVO</v>
          </cell>
          <cell r="G94" t="str">
            <v>2</v>
          </cell>
          <cell r="H94" t="str">
            <v>1200</v>
          </cell>
          <cell r="I94" t="str">
            <v>EMIVASA</v>
          </cell>
          <cell r="J94">
            <v>22</v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>10227417</v>
          </cell>
          <cell r="P94" t="str">
            <v>4500424866</v>
          </cell>
        </row>
        <row r="95">
          <cell r="B95" t="str">
            <v>3163MWZ</v>
          </cell>
          <cell r="C95" t="str">
            <v>PROPIEDAD</v>
          </cell>
          <cell r="D95" t="str">
            <v>5</v>
          </cell>
          <cell r="E95" t="str">
            <v>PROPIEDAD</v>
          </cell>
          <cell r="F95" t="str">
            <v>ACTIVO</v>
          </cell>
          <cell r="G95" t="str">
            <v>2</v>
          </cell>
          <cell r="H95" t="str">
            <v>1200</v>
          </cell>
          <cell r="I95" t="str">
            <v>EMIVASA</v>
          </cell>
          <cell r="J95">
            <v>23</v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>10227479</v>
          </cell>
          <cell r="P95" t="str">
            <v>4500424869</v>
          </cell>
        </row>
        <row r="96">
          <cell r="B96" t="str">
            <v>3168MWZ</v>
          </cell>
          <cell r="C96" t="str">
            <v>PROPIEDAD</v>
          </cell>
          <cell r="D96" t="str">
            <v>5</v>
          </cell>
          <cell r="E96" t="str">
            <v>PROPIEDAD</v>
          </cell>
          <cell r="F96" t="str">
            <v>ACTIVO</v>
          </cell>
          <cell r="G96" t="str">
            <v>2</v>
          </cell>
          <cell r="H96" t="str">
            <v>1200</v>
          </cell>
          <cell r="I96" t="str">
            <v>EMIVASA</v>
          </cell>
          <cell r="J96">
            <v>24</v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>10227394</v>
          </cell>
          <cell r="P96" t="str">
            <v>4500424865</v>
          </cell>
        </row>
        <row r="97">
          <cell r="B97" t="str">
            <v>3173MWZ</v>
          </cell>
          <cell r="C97" t="str">
            <v>PROPIEDAD</v>
          </cell>
          <cell r="D97" t="str">
            <v>5</v>
          </cell>
          <cell r="E97" t="str">
            <v>PROPIEDAD</v>
          </cell>
          <cell r="F97" t="str">
            <v>ACTIVO</v>
          </cell>
          <cell r="G97" t="str">
            <v>2</v>
          </cell>
          <cell r="H97" t="str">
            <v>1200</v>
          </cell>
          <cell r="I97" t="str">
            <v>EMIVASA</v>
          </cell>
          <cell r="J97">
            <v>25</v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>10227647</v>
          </cell>
          <cell r="P97" t="str">
            <v>4500424884</v>
          </cell>
        </row>
        <row r="98">
          <cell r="B98" t="str">
            <v>3178MXJ</v>
          </cell>
          <cell r="C98" t="str">
            <v>PROPIEDAD</v>
          </cell>
          <cell r="D98" t="str">
            <v>5</v>
          </cell>
          <cell r="E98" t="str">
            <v>PROPIEDAD</v>
          </cell>
          <cell r="F98" t="str">
            <v>ACTIVO</v>
          </cell>
          <cell r="G98" t="str">
            <v>2</v>
          </cell>
          <cell r="H98" t="str">
            <v>1064</v>
          </cell>
          <cell r="I98" t="str">
            <v>AYWA SER.AMBIENTALES SL</v>
          </cell>
          <cell r="J98">
            <v>4</v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>X</v>
          </cell>
          <cell r="P98" t="str">
            <v>X</v>
          </cell>
        </row>
        <row r="99">
          <cell r="B99" t="str">
            <v>3186MXJ</v>
          </cell>
          <cell r="C99" t="str">
            <v>PROPIEDAD</v>
          </cell>
          <cell r="D99" t="str">
            <v>5</v>
          </cell>
          <cell r="E99" t="str">
            <v>PROPIEDAD</v>
          </cell>
          <cell r="F99" t="str">
            <v>ACTIVO</v>
          </cell>
          <cell r="G99" t="str">
            <v>2</v>
          </cell>
          <cell r="H99" t="str">
            <v>1064</v>
          </cell>
          <cell r="I99" t="str">
            <v>AYWA SER.AMBIENTALES SL</v>
          </cell>
          <cell r="J99">
            <v>5</v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>X</v>
          </cell>
          <cell r="P99" t="str">
            <v>X</v>
          </cell>
        </row>
        <row r="100">
          <cell r="B100" t="str">
            <v>3191MXJ</v>
          </cell>
          <cell r="C100" t="str">
            <v>PROPIEDAD</v>
          </cell>
          <cell r="D100" t="str">
            <v>5</v>
          </cell>
          <cell r="E100" t="str">
            <v>PROPIEDAD</v>
          </cell>
          <cell r="F100" t="str">
            <v>ACTIVO</v>
          </cell>
          <cell r="G100" t="str">
            <v>2</v>
          </cell>
          <cell r="H100" t="str">
            <v>1400</v>
          </cell>
          <cell r="I100" t="str">
            <v>EGEVASA</v>
          </cell>
          <cell r="J100">
            <v>2</v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>10229237</v>
          </cell>
          <cell r="P100" t="str">
            <v>4500426875</v>
          </cell>
        </row>
        <row r="101">
          <cell r="B101" t="str">
            <v>3214MXJ</v>
          </cell>
          <cell r="C101" t="str">
            <v>PROPIEDAD</v>
          </cell>
          <cell r="D101" t="str">
            <v>5</v>
          </cell>
          <cell r="E101" t="str">
            <v>PROPIEDAD</v>
          </cell>
          <cell r="F101" t="str">
            <v>ACTIVO</v>
          </cell>
          <cell r="G101" t="str">
            <v>2</v>
          </cell>
          <cell r="H101" t="str">
            <v>1064</v>
          </cell>
          <cell r="I101" t="str">
            <v>AYWA SER.AMBIENTALES SL</v>
          </cell>
          <cell r="J101">
            <v>6</v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>X</v>
          </cell>
          <cell r="P101" t="str">
            <v>X</v>
          </cell>
        </row>
        <row r="102">
          <cell r="B102" t="str">
            <v>3246MXJ</v>
          </cell>
          <cell r="C102" t="str">
            <v>PROPIEDAD</v>
          </cell>
          <cell r="D102" t="str">
            <v>5</v>
          </cell>
          <cell r="E102" t="str">
            <v>PROPIEDAD</v>
          </cell>
          <cell r="F102" t="str">
            <v>ACTIVO</v>
          </cell>
          <cell r="G102" t="str">
            <v>2</v>
          </cell>
          <cell r="H102" t="str">
            <v>1064</v>
          </cell>
          <cell r="I102" t="str">
            <v>AYWA SER.AMBIENTALES SL</v>
          </cell>
          <cell r="J102">
            <v>7</v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>X</v>
          </cell>
          <cell r="P102" t="str">
            <v>X</v>
          </cell>
        </row>
        <row r="103">
          <cell r="B103" t="str">
            <v>3256MXH</v>
          </cell>
          <cell r="C103" t="str">
            <v>PROPIEDAD</v>
          </cell>
          <cell r="D103" t="str">
            <v>5</v>
          </cell>
          <cell r="E103" t="str">
            <v>PROPIEDAD</v>
          </cell>
          <cell r="F103" t="str">
            <v>ACTIVO</v>
          </cell>
          <cell r="G103" t="str">
            <v>2</v>
          </cell>
          <cell r="H103" t="str">
            <v>1053</v>
          </cell>
          <cell r="I103" t="str">
            <v>ISG</v>
          </cell>
          <cell r="J103">
            <v>2</v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>10228808</v>
          </cell>
          <cell r="P103" t="str">
            <v>4500426760</v>
          </cell>
        </row>
        <row r="104">
          <cell r="B104" t="str">
            <v>3489MWR</v>
          </cell>
          <cell r="C104" t="str">
            <v>PROPIEDAD</v>
          </cell>
          <cell r="D104" t="str">
            <v>5</v>
          </cell>
          <cell r="E104" t="str">
            <v>PROPIEDAD</v>
          </cell>
          <cell r="F104" t="str">
            <v>ACTIVO</v>
          </cell>
          <cell r="G104" t="str">
            <v>2</v>
          </cell>
          <cell r="H104" t="str">
            <v>1832</v>
          </cell>
          <cell r="I104" t="str">
            <v>COSTA BELLVER SA</v>
          </cell>
          <cell r="J104">
            <v>1</v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>X</v>
          </cell>
          <cell r="P104" t="str">
            <v>X</v>
          </cell>
        </row>
        <row r="105">
          <cell r="B105" t="str">
            <v>4000MWL</v>
          </cell>
          <cell r="C105" t="str">
            <v>PROPIEDAD</v>
          </cell>
          <cell r="D105" t="str">
            <v>5</v>
          </cell>
          <cell r="E105" t="str">
            <v>PROPIEDAD</v>
          </cell>
          <cell r="F105" t="str">
            <v>ACTIVO</v>
          </cell>
          <cell r="G105" t="str">
            <v>2</v>
          </cell>
          <cell r="H105" t="str">
            <v>1021</v>
          </cell>
          <cell r="I105" t="str">
            <v>MEDICION AVANZADA CONTAD.</v>
          </cell>
          <cell r="J105">
            <v>14</v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>10220305</v>
          </cell>
          <cell r="P105" t="str">
            <v>4500423383</v>
          </cell>
        </row>
        <row r="106">
          <cell r="B106" t="str">
            <v>4004MWL</v>
          </cell>
          <cell r="C106" t="str">
            <v>PROPIEDAD</v>
          </cell>
          <cell r="D106" t="str">
            <v>5</v>
          </cell>
          <cell r="E106" t="str">
            <v>PROPIEDAD</v>
          </cell>
          <cell r="F106" t="str">
            <v>ACTIVO</v>
          </cell>
          <cell r="G106" t="str">
            <v>2</v>
          </cell>
          <cell r="H106" t="str">
            <v>1021</v>
          </cell>
          <cell r="I106" t="str">
            <v>MEDICION AVANZADA CONTAD.</v>
          </cell>
          <cell r="J106">
            <v>15</v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>10225533</v>
          </cell>
          <cell r="P106" t="str">
            <v>4500423228</v>
          </cell>
        </row>
        <row r="107">
          <cell r="B107" t="str">
            <v>4073MXK</v>
          </cell>
          <cell r="C107" t="str">
            <v>PROPIEDAD</v>
          </cell>
          <cell r="D107" t="str">
            <v>5</v>
          </cell>
          <cell r="E107" t="str">
            <v>PROPIEDAD</v>
          </cell>
          <cell r="F107" t="str">
            <v>ACTIVO</v>
          </cell>
          <cell r="G107" t="str">
            <v>2</v>
          </cell>
          <cell r="H107" t="str">
            <v>1505</v>
          </cell>
          <cell r="I107" t="str">
            <v>CGAC</v>
          </cell>
          <cell r="J107">
            <v>32</v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>10228941</v>
          </cell>
          <cell r="P107" t="str">
            <v>4500426777</v>
          </cell>
        </row>
        <row r="108">
          <cell r="B108" t="str">
            <v>4082MXJ</v>
          </cell>
          <cell r="C108" t="str">
            <v>PROPIEDAD</v>
          </cell>
          <cell r="D108" t="str">
            <v>5</v>
          </cell>
          <cell r="E108" t="str">
            <v>PROPIEDAD</v>
          </cell>
          <cell r="F108" t="str">
            <v>ACTIVO</v>
          </cell>
          <cell r="G108" t="str">
            <v>2</v>
          </cell>
          <cell r="H108" t="str">
            <v>8010</v>
          </cell>
          <cell r="I108" t="str">
            <v>VALORIA INVESTMENTS 2011</v>
          </cell>
          <cell r="J108">
            <v>3</v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>X</v>
          </cell>
          <cell r="P108" t="str">
            <v>X</v>
          </cell>
        </row>
        <row r="109">
          <cell r="B109" t="str">
            <v>4255MXL</v>
          </cell>
          <cell r="C109" t="str">
            <v>PROPIEDAD</v>
          </cell>
          <cell r="D109" t="str">
            <v>5</v>
          </cell>
          <cell r="E109" t="str">
            <v>PROPIEDAD</v>
          </cell>
          <cell r="F109" t="str">
            <v>ACTIVO</v>
          </cell>
          <cell r="G109" t="str">
            <v>2</v>
          </cell>
          <cell r="H109" t="str">
            <v>1200</v>
          </cell>
          <cell r="I109" t="str">
            <v>EMIVASA</v>
          </cell>
          <cell r="J109">
            <v>26</v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>10229073</v>
          </cell>
          <cell r="P109" t="str">
            <v>4500426860</v>
          </cell>
        </row>
        <row r="110">
          <cell r="B110" t="str">
            <v>4257MXL</v>
          </cell>
          <cell r="C110" t="str">
            <v>PROPIEDAD</v>
          </cell>
          <cell r="D110" t="str">
            <v>5</v>
          </cell>
          <cell r="E110" t="str">
            <v>PROPIEDAD</v>
          </cell>
          <cell r="F110" t="str">
            <v>ACTIVO</v>
          </cell>
          <cell r="G110" t="str">
            <v>2</v>
          </cell>
          <cell r="H110" t="str">
            <v>1200</v>
          </cell>
          <cell r="I110" t="str">
            <v>EMIVASA</v>
          </cell>
          <cell r="J110">
            <v>27</v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>10229077</v>
          </cell>
          <cell r="P110" t="str">
            <v>4500426864</v>
          </cell>
        </row>
        <row r="111">
          <cell r="B111" t="str">
            <v>4258MXL</v>
          </cell>
          <cell r="C111" t="str">
            <v>PROPIEDAD</v>
          </cell>
          <cell r="D111" t="str">
            <v>5</v>
          </cell>
          <cell r="E111" t="str">
            <v>PROPIEDAD</v>
          </cell>
          <cell r="F111" t="str">
            <v>ACTIVO</v>
          </cell>
          <cell r="G111" t="str">
            <v>2</v>
          </cell>
          <cell r="H111" t="str">
            <v>1200</v>
          </cell>
          <cell r="I111" t="str">
            <v>EMIVASA</v>
          </cell>
          <cell r="J111">
            <v>28</v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>10229074</v>
          </cell>
          <cell r="P111" t="str">
            <v>4500426861</v>
          </cell>
        </row>
        <row r="112">
          <cell r="B112" t="str">
            <v>4260MXL</v>
          </cell>
          <cell r="C112" t="str">
            <v>PROPIEDAD</v>
          </cell>
          <cell r="D112" t="str">
            <v>5</v>
          </cell>
          <cell r="E112" t="str">
            <v>PROPIEDAD</v>
          </cell>
          <cell r="F112" t="str">
            <v>ACTIVO</v>
          </cell>
          <cell r="G112" t="str">
            <v>2</v>
          </cell>
          <cell r="H112" t="str">
            <v>1200</v>
          </cell>
          <cell r="I112" t="str">
            <v>EMIVASA</v>
          </cell>
          <cell r="J112">
            <v>29</v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>10229075</v>
          </cell>
          <cell r="P112" t="str">
            <v>4500426862</v>
          </cell>
        </row>
        <row r="113">
          <cell r="B113" t="str">
            <v>4261MXL</v>
          </cell>
          <cell r="C113" t="str">
            <v>PROPIEDAD</v>
          </cell>
          <cell r="D113" t="str">
            <v>5</v>
          </cell>
          <cell r="E113" t="str">
            <v>PROPIEDAD</v>
          </cell>
          <cell r="F113" t="str">
            <v>ACTIVO</v>
          </cell>
          <cell r="G113" t="str">
            <v>2</v>
          </cell>
          <cell r="H113" t="str">
            <v>1200</v>
          </cell>
          <cell r="I113" t="str">
            <v>EMIVASA</v>
          </cell>
          <cell r="J113">
            <v>30</v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>10229067</v>
          </cell>
          <cell r="P113" t="str">
            <v>4500426855</v>
          </cell>
        </row>
        <row r="114">
          <cell r="B114" t="str">
            <v>4263MXL</v>
          </cell>
          <cell r="C114" t="str">
            <v>PROPIEDAD</v>
          </cell>
          <cell r="D114" t="str">
            <v>5</v>
          </cell>
          <cell r="E114" t="str">
            <v>PROPIEDAD</v>
          </cell>
          <cell r="F114" t="str">
            <v>ACTIVO</v>
          </cell>
          <cell r="G114" t="str">
            <v>2</v>
          </cell>
          <cell r="H114" t="str">
            <v>1200</v>
          </cell>
          <cell r="I114" t="str">
            <v>EMIVASA</v>
          </cell>
          <cell r="J114">
            <v>31</v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>10229065</v>
          </cell>
          <cell r="P114" t="str">
            <v>4500426854</v>
          </cell>
        </row>
        <row r="115">
          <cell r="B115" t="str">
            <v>4265MXL</v>
          </cell>
          <cell r="C115" t="str">
            <v>PROPIEDAD</v>
          </cell>
          <cell r="D115" t="str">
            <v>5</v>
          </cell>
          <cell r="E115" t="str">
            <v>PROPIEDAD</v>
          </cell>
          <cell r="F115" t="str">
            <v>ACTIVO</v>
          </cell>
          <cell r="G115" t="str">
            <v>2</v>
          </cell>
          <cell r="H115" t="str">
            <v>1200</v>
          </cell>
          <cell r="I115" t="str">
            <v>EMIVASA</v>
          </cell>
          <cell r="J115">
            <v>32</v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>10229069</v>
          </cell>
          <cell r="P115" t="str">
            <v>4500426857</v>
          </cell>
        </row>
        <row r="116">
          <cell r="B116" t="str">
            <v>4266MXL</v>
          </cell>
          <cell r="C116" t="str">
            <v>PROPIEDAD</v>
          </cell>
          <cell r="D116" t="str">
            <v>5</v>
          </cell>
          <cell r="E116" t="str">
            <v>PROPIEDAD</v>
          </cell>
          <cell r="F116" t="str">
            <v>ACTIVO</v>
          </cell>
          <cell r="G116" t="str">
            <v>2</v>
          </cell>
          <cell r="H116" t="str">
            <v>1200</v>
          </cell>
          <cell r="I116" t="str">
            <v>EMIVASA</v>
          </cell>
          <cell r="J116">
            <v>33</v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>10229071</v>
          </cell>
          <cell r="P116" t="str">
            <v>4500426859</v>
          </cell>
        </row>
        <row r="117">
          <cell r="B117" t="str">
            <v>4267MXL</v>
          </cell>
          <cell r="C117" t="str">
            <v>PROPIEDAD</v>
          </cell>
          <cell r="D117" t="str">
            <v>5</v>
          </cell>
          <cell r="E117" t="str">
            <v>PROPIEDAD</v>
          </cell>
          <cell r="F117" t="str">
            <v>ACTIVO</v>
          </cell>
          <cell r="G117" t="str">
            <v>2</v>
          </cell>
          <cell r="H117" t="str">
            <v>1200</v>
          </cell>
          <cell r="I117" t="str">
            <v>EMIVASA</v>
          </cell>
          <cell r="J117">
            <v>34</v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>10229076</v>
          </cell>
          <cell r="P117" t="str">
            <v>4500426863</v>
          </cell>
        </row>
        <row r="118">
          <cell r="B118" t="str">
            <v>4268MXL</v>
          </cell>
          <cell r="C118" t="str">
            <v>PROPIEDAD</v>
          </cell>
          <cell r="D118" t="str">
            <v>5</v>
          </cell>
          <cell r="E118" t="str">
            <v>PROPIEDAD</v>
          </cell>
          <cell r="F118" t="str">
            <v>ACTIVO</v>
          </cell>
          <cell r="G118" t="str">
            <v>2</v>
          </cell>
          <cell r="H118" t="str">
            <v>1200</v>
          </cell>
          <cell r="I118" t="str">
            <v>EMIVASA</v>
          </cell>
          <cell r="J118">
            <v>35</v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>10229070</v>
          </cell>
          <cell r="P118" t="str">
            <v>4500426858</v>
          </cell>
        </row>
        <row r="119">
          <cell r="B119" t="str">
            <v>4280MXL</v>
          </cell>
          <cell r="C119" t="str">
            <v>PROPIEDAD</v>
          </cell>
          <cell r="D119" t="str">
            <v>5</v>
          </cell>
          <cell r="E119" t="str">
            <v>PROPIEDAD</v>
          </cell>
          <cell r="F119" t="str">
            <v>ACTIVO</v>
          </cell>
          <cell r="G119" t="str">
            <v>2</v>
          </cell>
          <cell r="H119" t="str">
            <v>1200</v>
          </cell>
          <cell r="I119" t="str">
            <v>EMIVASA</v>
          </cell>
          <cell r="J119">
            <v>36</v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>10228963</v>
          </cell>
          <cell r="P119" t="str">
            <v>4500426782</v>
          </cell>
        </row>
        <row r="120">
          <cell r="B120" t="str">
            <v>4282MXL</v>
          </cell>
          <cell r="C120" t="str">
            <v>PROPIEDAD</v>
          </cell>
          <cell r="D120" t="str">
            <v>5</v>
          </cell>
          <cell r="E120" t="str">
            <v>PROPIEDAD</v>
          </cell>
          <cell r="F120" t="str">
            <v>ACTIVO</v>
          </cell>
          <cell r="G120" t="str">
            <v>2</v>
          </cell>
          <cell r="H120" t="str">
            <v>1200</v>
          </cell>
          <cell r="I120" t="str">
            <v>EMIVASA</v>
          </cell>
          <cell r="J120">
            <v>37</v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>10229079</v>
          </cell>
          <cell r="P120" t="str">
            <v>4500426866</v>
          </cell>
        </row>
        <row r="121">
          <cell r="B121" t="str">
            <v>4284MXL</v>
          </cell>
          <cell r="C121" t="str">
            <v>PROPIEDAD</v>
          </cell>
          <cell r="D121" t="str">
            <v>5</v>
          </cell>
          <cell r="E121" t="str">
            <v>PROPIEDAD</v>
          </cell>
          <cell r="F121" t="str">
            <v>ACTIVO</v>
          </cell>
          <cell r="G121" t="str">
            <v>2</v>
          </cell>
          <cell r="H121" t="str">
            <v>1200</v>
          </cell>
          <cell r="I121" t="str">
            <v>EMIVASA</v>
          </cell>
          <cell r="J121">
            <v>38</v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>10229297</v>
          </cell>
          <cell r="P121" t="str">
            <v>4500426882</v>
          </cell>
        </row>
        <row r="122">
          <cell r="B122" t="str">
            <v>4300MXL</v>
          </cell>
          <cell r="C122" t="str">
            <v>PROPIEDAD</v>
          </cell>
          <cell r="D122" t="str">
            <v>5</v>
          </cell>
          <cell r="E122" t="str">
            <v>PROPIEDAD</v>
          </cell>
          <cell r="F122" t="str">
            <v>ACTIVO</v>
          </cell>
          <cell r="G122" t="str">
            <v>2</v>
          </cell>
          <cell r="H122" t="str">
            <v>1200</v>
          </cell>
          <cell r="I122" t="str">
            <v>EMIVASA</v>
          </cell>
          <cell r="J122">
            <v>39</v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>10229078</v>
          </cell>
          <cell r="P122" t="str">
            <v>4500426865</v>
          </cell>
        </row>
        <row r="123">
          <cell r="B123" t="str">
            <v>4621MVB</v>
          </cell>
          <cell r="C123" t="str">
            <v>PROPIEDAD</v>
          </cell>
          <cell r="D123" t="str">
            <v>5</v>
          </cell>
          <cell r="E123" t="str">
            <v>PROPIEDAD</v>
          </cell>
          <cell r="F123" t="str">
            <v>ACTIVO</v>
          </cell>
          <cell r="G123" t="str">
            <v>2</v>
          </cell>
          <cell r="H123" t="str">
            <v>1507</v>
          </cell>
          <cell r="I123" t="str">
            <v>EMP.AG.POTABL.MALGRAT SA</v>
          </cell>
          <cell r="J123">
            <v>1</v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>10215288</v>
          </cell>
          <cell r="P123" t="str">
            <v>X</v>
          </cell>
        </row>
        <row r="124">
          <cell r="B124" t="str">
            <v>4622MVB</v>
          </cell>
          <cell r="C124" t="str">
            <v>PROPIEDAD</v>
          </cell>
          <cell r="D124" t="str">
            <v>5</v>
          </cell>
          <cell r="E124" t="str">
            <v>PROPIEDAD</v>
          </cell>
          <cell r="F124" t="str">
            <v>ACTIVO</v>
          </cell>
          <cell r="G124" t="str">
            <v>2</v>
          </cell>
          <cell r="H124" t="str">
            <v>1507</v>
          </cell>
          <cell r="I124" t="str">
            <v>EMP.AG.POTABL.MALGRAT SA</v>
          </cell>
          <cell r="J124">
            <v>2</v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>10215292</v>
          </cell>
          <cell r="P124" t="str">
            <v/>
          </cell>
        </row>
        <row r="125">
          <cell r="B125" t="str">
            <v>4623MVB</v>
          </cell>
          <cell r="C125" t="str">
            <v>PROPIEDAD</v>
          </cell>
          <cell r="D125" t="str">
            <v>5</v>
          </cell>
          <cell r="E125" t="str">
            <v>PROPIEDAD</v>
          </cell>
          <cell r="F125" t="str">
            <v>ACTIVO</v>
          </cell>
          <cell r="G125" t="str">
            <v>2</v>
          </cell>
          <cell r="H125" t="str">
            <v>1507</v>
          </cell>
          <cell r="I125" t="str">
            <v>EMP.AG.POTABL.MALGRAT SA</v>
          </cell>
          <cell r="J125">
            <v>3</v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>10215283</v>
          </cell>
          <cell r="P125" t="str">
            <v>X</v>
          </cell>
        </row>
        <row r="126">
          <cell r="B126" t="str">
            <v>5020MWL</v>
          </cell>
          <cell r="C126" t="str">
            <v>PROPIEDAD</v>
          </cell>
          <cell r="D126" t="str">
            <v>5</v>
          </cell>
          <cell r="E126" t="str">
            <v>PROPIEDAD</v>
          </cell>
          <cell r="F126" t="str">
            <v>ACTIVO</v>
          </cell>
          <cell r="G126" t="str">
            <v>2</v>
          </cell>
          <cell r="H126" t="str">
            <v>1505</v>
          </cell>
          <cell r="I126" t="str">
            <v>CGAC</v>
          </cell>
          <cell r="J126">
            <v>33</v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>10221892</v>
          </cell>
          <cell r="P126" t="str">
            <v>4500423385</v>
          </cell>
        </row>
        <row r="127">
          <cell r="B127" t="str">
            <v>5230MXL</v>
          </cell>
          <cell r="C127" t="str">
            <v>PROPIEDAD</v>
          </cell>
          <cell r="D127" t="str">
            <v>5</v>
          </cell>
          <cell r="E127" t="str">
            <v>PROPIEDAD</v>
          </cell>
          <cell r="F127" t="str">
            <v>ACTIVO</v>
          </cell>
          <cell r="G127" t="str">
            <v>2</v>
          </cell>
          <cell r="H127" t="str">
            <v>1319</v>
          </cell>
          <cell r="I127" t="str">
            <v>UTE CHIVA(AV/EG)</v>
          </cell>
          <cell r="J127">
            <v>1</v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>10229049</v>
          </cell>
          <cell r="P127" t="str">
            <v>4500426843</v>
          </cell>
        </row>
        <row r="128">
          <cell r="B128" t="str">
            <v>5244MXL</v>
          </cell>
          <cell r="C128" t="str">
            <v>PROPIEDAD</v>
          </cell>
          <cell r="D128" t="str">
            <v>5</v>
          </cell>
          <cell r="E128" t="str">
            <v>PROPIEDAD</v>
          </cell>
          <cell r="F128" t="str">
            <v>ACTIVO</v>
          </cell>
          <cell r="G128" t="str">
            <v>2</v>
          </cell>
          <cell r="H128" t="str">
            <v>1319</v>
          </cell>
          <cell r="I128" t="str">
            <v>UTE CHIVA(AV/EG)</v>
          </cell>
          <cell r="J128">
            <v>2</v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>10228805</v>
          </cell>
          <cell r="P128" t="str">
            <v>4500426763</v>
          </cell>
        </row>
        <row r="129">
          <cell r="B129" t="str">
            <v>5360MXF</v>
          </cell>
          <cell r="C129" t="str">
            <v>PROPIEDAD</v>
          </cell>
          <cell r="D129" t="str">
            <v>5</v>
          </cell>
          <cell r="E129" t="str">
            <v>PROPIEDAD</v>
          </cell>
          <cell r="F129" t="str">
            <v>ACTIVO</v>
          </cell>
          <cell r="G129" t="str">
            <v>2</v>
          </cell>
          <cell r="H129" t="str">
            <v>1001</v>
          </cell>
          <cell r="I129" t="str">
            <v>AVSA</v>
          </cell>
          <cell r="J129">
            <v>9</v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>10228804</v>
          </cell>
          <cell r="P129" t="str">
            <v>4500426758</v>
          </cell>
        </row>
        <row r="130">
          <cell r="B130" t="str">
            <v>5665MWP</v>
          </cell>
          <cell r="C130" t="str">
            <v>PROPIEDAD</v>
          </cell>
          <cell r="D130" t="str">
            <v>5</v>
          </cell>
          <cell r="E130" t="str">
            <v>PROPIEDAD</v>
          </cell>
          <cell r="F130" t="str">
            <v>ACTIVO</v>
          </cell>
          <cell r="G130" t="str">
            <v>2</v>
          </cell>
          <cell r="H130" t="str">
            <v>1066</v>
          </cell>
          <cell r="I130" t="str">
            <v>CANALIZ. CIVILES S.A.</v>
          </cell>
          <cell r="J130">
            <v>2</v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>10226832</v>
          </cell>
          <cell r="P130" t="str">
            <v>4500424795</v>
          </cell>
        </row>
        <row r="131">
          <cell r="B131" t="str">
            <v>6005MWV</v>
          </cell>
          <cell r="C131" t="str">
            <v>PROPIEDAD</v>
          </cell>
          <cell r="D131" t="str">
            <v>5</v>
          </cell>
          <cell r="E131" t="str">
            <v>PROPIEDAD</v>
          </cell>
          <cell r="F131" t="str">
            <v>ACTIVO</v>
          </cell>
          <cell r="G131" t="str">
            <v>2</v>
          </cell>
          <cell r="H131" t="str">
            <v>1066</v>
          </cell>
          <cell r="I131" t="str">
            <v>CANALIZ. CIVILES S.A.</v>
          </cell>
          <cell r="J131">
            <v>3</v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>10227447</v>
          </cell>
          <cell r="P131" t="str">
            <v>4500424804</v>
          </cell>
        </row>
        <row r="132">
          <cell r="B132" t="str">
            <v>6007MWV</v>
          </cell>
          <cell r="C132" t="str">
            <v>PROPIEDAD</v>
          </cell>
          <cell r="D132" t="str">
            <v>5</v>
          </cell>
          <cell r="E132" t="str">
            <v>PROPIEDAD</v>
          </cell>
          <cell r="F132" t="str">
            <v>ACTIVO</v>
          </cell>
          <cell r="G132" t="str">
            <v>2</v>
          </cell>
          <cell r="H132" t="str">
            <v>1001</v>
          </cell>
          <cell r="I132" t="str">
            <v>AVSA</v>
          </cell>
          <cell r="J132">
            <v>10</v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>10226819</v>
          </cell>
          <cell r="P132" t="str">
            <v>4500424789</v>
          </cell>
        </row>
        <row r="133">
          <cell r="B133" t="str">
            <v>6015MWV</v>
          </cell>
          <cell r="C133" t="str">
            <v>PROPIEDAD</v>
          </cell>
          <cell r="D133" t="str">
            <v>5</v>
          </cell>
          <cell r="E133" t="str">
            <v>PROPIEDAD</v>
          </cell>
          <cell r="F133" t="str">
            <v>ACTIVO</v>
          </cell>
          <cell r="G133" t="str">
            <v>2</v>
          </cell>
          <cell r="H133" t="str">
            <v>1001</v>
          </cell>
          <cell r="I133" t="str">
            <v>AVSA</v>
          </cell>
          <cell r="J133">
            <v>11</v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>10226760</v>
          </cell>
          <cell r="P133" t="str">
            <v>4500424209</v>
          </cell>
        </row>
        <row r="134">
          <cell r="B134" t="str">
            <v>6019MWV</v>
          </cell>
          <cell r="C134" t="str">
            <v>PROPIEDAD</v>
          </cell>
          <cell r="D134" t="str">
            <v>5</v>
          </cell>
          <cell r="E134" t="str">
            <v>PROPIEDAD</v>
          </cell>
          <cell r="F134" t="str">
            <v>ACTIVO</v>
          </cell>
          <cell r="G134" t="str">
            <v>2</v>
          </cell>
          <cell r="H134" t="str">
            <v>1066</v>
          </cell>
          <cell r="I134" t="str">
            <v>CANALIZ. CIVILES S.A.</v>
          </cell>
          <cell r="J134">
            <v>4</v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>10229246</v>
          </cell>
          <cell r="P134" t="str">
            <v>4500426702</v>
          </cell>
        </row>
        <row r="135">
          <cell r="B135" t="str">
            <v>6022MWV</v>
          </cell>
          <cell r="C135" t="str">
            <v>PROPIEDAD</v>
          </cell>
          <cell r="D135" t="str">
            <v>5</v>
          </cell>
          <cell r="E135" t="str">
            <v>PROPIEDAD</v>
          </cell>
          <cell r="F135" t="str">
            <v>ACTIVO</v>
          </cell>
          <cell r="G135" t="str">
            <v>2</v>
          </cell>
          <cell r="H135" t="str">
            <v>1066</v>
          </cell>
          <cell r="I135" t="str">
            <v>CANALIZ. CIVILES S.A.</v>
          </cell>
          <cell r="J135">
            <v>5</v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>10229245</v>
          </cell>
          <cell r="P135" t="str">
            <v>4500426701</v>
          </cell>
        </row>
        <row r="136">
          <cell r="B136" t="str">
            <v>6028MWV</v>
          </cell>
          <cell r="C136" t="str">
            <v>PROPIEDAD</v>
          </cell>
          <cell r="D136" t="str">
            <v>5</v>
          </cell>
          <cell r="E136" t="str">
            <v>PROPIEDAD</v>
          </cell>
          <cell r="F136" t="str">
            <v>ACTIVO</v>
          </cell>
          <cell r="G136" t="str">
            <v>2</v>
          </cell>
          <cell r="H136" t="str">
            <v>1001</v>
          </cell>
          <cell r="I136" t="str">
            <v>AVSA</v>
          </cell>
          <cell r="J136">
            <v>12</v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>10226833</v>
          </cell>
          <cell r="P136" t="str">
            <v>4500424796</v>
          </cell>
        </row>
        <row r="137">
          <cell r="B137" t="str">
            <v>6029MWV</v>
          </cell>
          <cell r="C137" t="str">
            <v>PROPIEDAD</v>
          </cell>
          <cell r="D137" t="str">
            <v>5</v>
          </cell>
          <cell r="E137" t="str">
            <v>PROPIEDAD</v>
          </cell>
          <cell r="F137" t="str">
            <v>ACTIVO</v>
          </cell>
          <cell r="G137" t="str">
            <v>2</v>
          </cell>
          <cell r="H137" t="str">
            <v>1001</v>
          </cell>
          <cell r="I137" t="str">
            <v>AVSA</v>
          </cell>
          <cell r="J137">
            <v>13</v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>10226829</v>
          </cell>
          <cell r="P137" t="str">
            <v>4500424793</v>
          </cell>
        </row>
        <row r="138">
          <cell r="B138" t="str">
            <v>6033MWV</v>
          </cell>
          <cell r="C138" t="str">
            <v>PROPIEDAD</v>
          </cell>
          <cell r="D138" t="str">
            <v>5</v>
          </cell>
          <cell r="E138" t="str">
            <v>PROPIEDAD</v>
          </cell>
          <cell r="F138" t="str">
            <v>ACTIVO</v>
          </cell>
          <cell r="G138" t="str">
            <v>2</v>
          </cell>
          <cell r="H138" t="str">
            <v>1066</v>
          </cell>
          <cell r="I138" t="str">
            <v>CANALIZ. CIVILES S.A.</v>
          </cell>
          <cell r="J138">
            <v>6</v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>10227437</v>
          </cell>
          <cell r="P138" t="str">
            <v>4500424801</v>
          </cell>
        </row>
        <row r="139">
          <cell r="B139" t="str">
            <v>6037MWV</v>
          </cell>
          <cell r="C139" t="str">
            <v>PROPIEDAD</v>
          </cell>
          <cell r="D139" t="str">
            <v>5</v>
          </cell>
          <cell r="E139" t="str">
            <v>PROPIEDAD</v>
          </cell>
          <cell r="F139" t="str">
            <v>ACTIVO</v>
          </cell>
          <cell r="G139" t="str">
            <v>2</v>
          </cell>
          <cell r="H139" t="str">
            <v>1066</v>
          </cell>
          <cell r="I139" t="str">
            <v>CANALIZ. CIVILES S.A.</v>
          </cell>
          <cell r="J139">
            <v>7</v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>10229248</v>
          </cell>
          <cell r="P139" t="str">
            <v>4500426703</v>
          </cell>
        </row>
        <row r="140">
          <cell r="B140" t="str">
            <v>6042MWV</v>
          </cell>
          <cell r="C140" t="str">
            <v>PROPIEDAD</v>
          </cell>
          <cell r="D140" t="str">
            <v>5</v>
          </cell>
          <cell r="E140" t="str">
            <v>PROPIEDAD</v>
          </cell>
          <cell r="F140" t="str">
            <v>ACTIVO</v>
          </cell>
          <cell r="G140" t="str">
            <v>2</v>
          </cell>
          <cell r="H140" t="str">
            <v>1001</v>
          </cell>
          <cell r="I140" t="str">
            <v>AVSA</v>
          </cell>
          <cell r="J140">
            <v>14</v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>10226824</v>
          </cell>
          <cell r="P140" t="str">
            <v>4500424791</v>
          </cell>
        </row>
        <row r="141">
          <cell r="B141" t="str">
            <v>6046MWV</v>
          </cell>
          <cell r="C141" t="str">
            <v>PROPIEDAD</v>
          </cell>
          <cell r="D141" t="str">
            <v>5</v>
          </cell>
          <cell r="E141" t="str">
            <v>PROPIEDAD</v>
          </cell>
          <cell r="F141" t="str">
            <v>ACTIVO</v>
          </cell>
          <cell r="G141" t="str">
            <v>2</v>
          </cell>
          <cell r="H141" t="str">
            <v>1001</v>
          </cell>
          <cell r="I141" t="str">
            <v>AVSA</v>
          </cell>
          <cell r="J141">
            <v>15</v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>10226826</v>
          </cell>
          <cell r="P141" t="str">
            <v>4500424792</v>
          </cell>
        </row>
        <row r="142">
          <cell r="B142" t="str">
            <v>6055MWV</v>
          </cell>
          <cell r="C142" t="str">
            <v>PROPIEDAD</v>
          </cell>
          <cell r="D142" t="str">
            <v>5</v>
          </cell>
          <cell r="E142" t="str">
            <v>PROPIEDAD</v>
          </cell>
          <cell r="F142" t="str">
            <v>ACTIVO</v>
          </cell>
          <cell r="G142" t="str">
            <v>2</v>
          </cell>
          <cell r="H142" t="str">
            <v>1001</v>
          </cell>
          <cell r="I142" t="str">
            <v>AVSA</v>
          </cell>
          <cell r="J142">
            <v>16</v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>10227443</v>
          </cell>
          <cell r="P142" t="str">
            <v>4500424803</v>
          </cell>
        </row>
        <row r="143">
          <cell r="B143" t="str">
            <v>6082MWV</v>
          </cell>
          <cell r="C143" t="str">
            <v>PROPIEDAD</v>
          </cell>
          <cell r="D143" t="str">
            <v>5</v>
          </cell>
          <cell r="E143" t="str">
            <v>PROPIEDAD</v>
          </cell>
          <cell r="F143" t="str">
            <v>ACTIVO</v>
          </cell>
          <cell r="G143" t="str">
            <v>2</v>
          </cell>
          <cell r="H143" t="str">
            <v>1203</v>
          </cell>
          <cell r="I143" t="str">
            <v>E.Mixta Metropolitana, SA</v>
          </cell>
          <cell r="J143">
            <v>1</v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>10227397</v>
          </cell>
          <cell r="P143" t="str">
            <v>4500424805</v>
          </cell>
        </row>
        <row r="144">
          <cell r="B144" t="str">
            <v>6083MWV</v>
          </cell>
          <cell r="C144" t="str">
            <v>PROPIEDAD</v>
          </cell>
          <cell r="D144" t="str">
            <v>5</v>
          </cell>
          <cell r="E144" t="str">
            <v>PROPIEDAD</v>
          </cell>
          <cell r="F144" t="str">
            <v>ACTIVO</v>
          </cell>
          <cell r="G144" t="str">
            <v>2</v>
          </cell>
          <cell r="H144" t="str">
            <v>1001</v>
          </cell>
          <cell r="I144" t="str">
            <v>AVSA</v>
          </cell>
          <cell r="J144">
            <v>17</v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>10226834</v>
          </cell>
          <cell r="P144" t="str">
            <v>4500424797</v>
          </cell>
        </row>
        <row r="145">
          <cell r="B145" t="str">
            <v>6084MWV</v>
          </cell>
          <cell r="C145" t="str">
            <v>PROPIEDAD</v>
          </cell>
          <cell r="D145" t="str">
            <v>5</v>
          </cell>
          <cell r="E145" t="str">
            <v>PROPIEDAD</v>
          </cell>
          <cell r="F145" t="str">
            <v>ACTIVO</v>
          </cell>
          <cell r="G145" t="str">
            <v>2</v>
          </cell>
          <cell r="H145" t="str">
            <v>1001</v>
          </cell>
          <cell r="I145" t="str">
            <v>AVSA</v>
          </cell>
          <cell r="J145">
            <v>18</v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>10227574</v>
          </cell>
          <cell r="P145" t="str">
            <v>4500424818</v>
          </cell>
        </row>
        <row r="146">
          <cell r="B146" t="str">
            <v>6087MWV</v>
          </cell>
          <cell r="C146" t="str">
            <v>PROPIEDAD</v>
          </cell>
          <cell r="D146" t="str">
            <v>5</v>
          </cell>
          <cell r="E146" t="str">
            <v>PROPIEDAD</v>
          </cell>
          <cell r="F146" t="str">
            <v>ACTIVO</v>
          </cell>
          <cell r="G146" t="str">
            <v>2</v>
          </cell>
          <cell r="H146" t="str">
            <v>1001</v>
          </cell>
          <cell r="I146" t="str">
            <v>AVSA</v>
          </cell>
          <cell r="J146">
            <v>19</v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>10227439</v>
          </cell>
          <cell r="P146" t="str">
            <v>4500424802</v>
          </cell>
        </row>
        <row r="147">
          <cell r="B147" t="str">
            <v>6089MWV</v>
          </cell>
          <cell r="C147" t="str">
            <v>PROPIEDAD</v>
          </cell>
          <cell r="D147" t="str">
            <v>5</v>
          </cell>
          <cell r="E147" t="str">
            <v>PROPIEDAD</v>
          </cell>
          <cell r="F147" t="str">
            <v>ACTIVO</v>
          </cell>
          <cell r="G147" t="str">
            <v>2</v>
          </cell>
          <cell r="H147" t="str">
            <v>1001</v>
          </cell>
          <cell r="I147" t="str">
            <v>AVSA</v>
          </cell>
          <cell r="J147">
            <v>20</v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>10227552</v>
          </cell>
          <cell r="P147" t="str">
            <v>4500424812</v>
          </cell>
        </row>
        <row r="148">
          <cell r="B148" t="str">
            <v>6094MWV</v>
          </cell>
          <cell r="C148" t="str">
            <v>PROPIEDAD</v>
          </cell>
          <cell r="D148" t="str">
            <v>5</v>
          </cell>
          <cell r="E148" t="str">
            <v>PROPIEDAD</v>
          </cell>
          <cell r="F148" t="str">
            <v>ACTIVO</v>
          </cell>
          <cell r="G148" t="str">
            <v>2</v>
          </cell>
          <cell r="H148" t="str">
            <v>1001</v>
          </cell>
          <cell r="I148" t="str">
            <v>AVSA</v>
          </cell>
          <cell r="J148">
            <v>21</v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>10229241</v>
          </cell>
          <cell r="P148" t="str">
            <v>4500426700</v>
          </cell>
        </row>
        <row r="149">
          <cell r="B149" t="str">
            <v>6097MWV</v>
          </cell>
          <cell r="C149" t="str">
            <v>PROPIEDAD</v>
          </cell>
          <cell r="D149" t="str">
            <v>5</v>
          </cell>
          <cell r="E149" t="str">
            <v>PROPIEDAD</v>
          </cell>
          <cell r="F149" t="str">
            <v>ACTIVO</v>
          </cell>
          <cell r="G149" t="str">
            <v>2</v>
          </cell>
          <cell r="H149" t="str">
            <v>1001</v>
          </cell>
          <cell r="I149" t="str">
            <v>AVSA</v>
          </cell>
          <cell r="J149">
            <v>22</v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>10227553</v>
          </cell>
          <cell r="P149" t="str">
            <v>4500424813</v>
          </cell>
        </row>
        <row r="150">
          <cell r="B150" t="str">
            <v>6102MWV</v>
          </cell>
          <cell r="C150" t="str">
            <v>PROPIEDAD</v>
          </cell>
          <cell r="D150" t="str">
            <v>5</v>
          </cell>
          <cell r="E150" t="str">
            <v>PROPIEDAD</v>
          </cell>
          <cell r="F150" t="str">
            <v>ACTIVO</v>
          </cell>
          <cell r="G150" t="str">
            <v>2</v>
          </cell>
          <cell r="H150" t="str">
            <v>1001</v>
          </cell>
          <cell r="I150" t="str">
            <v>AVSA</v>
          </cell>
          <cell r="J150">
            <v>23</v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>10227564</v>
          </cell>
          <cell r="P150" t="str">
            <v>4500424815</v>
          </cell>
        </row>
        <row r="151">
          <cell r="B151" t="str">
            <v>6109MWV</v>
          </cell>
          <cell r="C151" t="str">
            <v>PROPIEDAD</v>
          </cell>
          <cell r="D151" t="str">
            <v>5</v>
          </cell>
          <cell r="E151" t="str">
            <v>PROPIEDAD</v>
          </cell>
          <cell r="F151" t="str">
            <v>ACTIVO</v>
          </cell>
          <cell r="G151" t="str">
            <v>2</v>
          </cell>
          <cell r="H151" t="str">
            <v>1053</v>
          </cell>
          <cell r="I151" t="str">
            <v>ISG</v>
          </cell>
          <cell r="J151">
            <v>3</v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>10227537</v>
          </cell>
          <cell r="P151" t="str">
            <v>4500424810</v>
          </cell>
        </row>
        <row r="152">
          <cell r="B152" t="str">
            <v>6124MWV</v>
          </cell>
          <cell r="C152" t="str">
            <v>PROPIEDAD</v>
          </cell>
          <cell r="D152" t="str">
            <v>5</v>
          </cell>
          <cell r="E152" t="str">
            <v>PROPIEDAD</v>
          </cell>
          <cell r="F152" t="str">
            <v>ACTIVO</v>
          </cell>
          <cell r="G152" t="str">
            <v>2</v>
          </cell>
          <cell r="H152" t="str">
            <v>1053</v>
          </cell>
          <cell r="I152" t="str">
            <v>ISG</v>
          </cell>
          <cell r="J152">
            <v>4</v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>10227576</v>
          </cell>
          <cell r="P152" t="str">
            <v>4500424819</v>
          </cell>
        </row>
        <row r="153">
          <cell r="B153" t="str">
            <v>6125MWV</v>
          </cell>
          <cell r="C153" t="str">
            <v>PROPIEDAD</v>
          </cell>
          <cell r="D153" t="str">
            <v>5</v>
          </cell>
          <cell r="E153" t="str">
            <v>PROPIEDAD</v>
          </cell>
          <cell r="F153" t="str">
            <v>ACTIVO</v>
          </cell>
          <cell r="G153" t="str">
            <v>2</v>
          </cell>
          <cell r="H153" t="str">
            <v>1053</v>
          </cell>
          <cell r="I153" t="str">
            <v>ISG</v>
          </cell>
          <cell r="J153">
            <v>5</v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>10227555</v>
          </cell>
          <cell r="P153" t="str">
            <v>4500424814</v>
          </cell>
        </row>
        <row r="154">
          <cell r="B154" t="str">
            <v>6126MWV</v>
          </cell>
          <cell r="C154" t="str">
            <v>PROPIEDAD</v>
          </cell>
          <cell r="D154" t="str">
            <v>5</v>
          </cell>
          <cell r="E154" t="str">
            <v>PROPIEDAD</v>
          </cell>
          <cell r="F154" t="str">
            <v>ACTIVO</v>
          </cell>
          <cell r="G154" t="str">
            <v>2</v>
          </cell>
          <cell r="H154" t="str">
            <v>1053</v>
          </cell>
          <cell r="I154" t="str">
            <v>ISG</v>
          </cell>
          <cell r="J154">
            <v>6</v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>10227569</v>
          </cell>
          <cell r="P154" t="str">
            <v>4500424816</v>
          </cell>
        </row>
        <row r="155">
          <cell r="B155" t="str">
            <v>6128MWV</v>
          </cell>
          <cell r="C155" t="str">
            <v>PROPIEDAD</v>
          </cell>
          <cell r="D155" t="str">
            <v>5</v>
          </cell>
          <cell r="E155" t="str">
            <v>PROPIEDAD</v>
          </cell>
          <cell r="F155" t="str">
            <v>ACTIVO</v>
          </cell>
          <cell r="G155" t="str">
            <v>2</v>
          </cell>
          <cell r="H155" t="str">
            <v>1053</v>
          </cell>
          <cell r="I155" t="str">
            <v>ISG</v>
          </cell>
          <cell r="J155">
            <v>7</v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>10226807</v>
          </cell>
          <cell r="P155" t="str">
            <v>4500424790</v>
          </cell>
        </row>
        <row r="156">
          <cell r="B156" t="str">
            <v>6209MWV</v>
          </cell>
          <cell r="C156" t="str">
            <v>PROPIEDAD</v>
          </cell>
          <cell r="D156" t="str">
            <v>5</v>
          </cell>
          <cell r="E156" t="str">
            <v>PROPIEDAD</v>
          </cell>
          <cell r="F156" t="str">
            <v>ACTIVO</v>
          </cell>
          <cell r="G156" t="str">
            <v>2</v>
          </cell>
          <cell r="H156" t="str">
            <v>1507</v>
          </cell>
          <cell r="I156" t="str">
            <v>EMP.AG.POTABL.MALGRAT SA</v>
          </cell>
          <cell r="J156">
            <v>4</v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>10226831</v>
          </cell>
          <cell r="P156" t="str">
            <v>4500424826</v>
          </cell>
        </row>
        <row r="157">
          <cell r="B157" t="str">
            <v>6245MWV</v>
          </cell>
          <cell r="C157" t="str">
            <v>PROPIEDAD</v>
          </cell>
          <cell r="D157" t="str">
            <v>5</v>
          </cell>
          <cell r="E157" t="str">
            <v>PROPIEDAD</v>
          </cell>
          <cell r="F157" t="str">
            <v>ACTIVO</v>
          </cell>
          <cell r="G157" t="str">
            <v>2</v>
          </cell>
          <cell r="H157" t="str">
            <v>1203</v>
          </cell>
          <cell r="I157" t="str">
            <v>E.Mixta Metropolitana, SA</v>
          </cell>
          <cell r="J157">
            <v>2</v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>10227465</v>
          </cell>
          <cell r="P157" t="str">
            <v>4500424806</v>
          </cell>
        </row>
        <row r="158">
          <cell r="B158" t="str">
            <v>6248MWV</v>
          </cell>
          <cell r="C158" t="str">
            <v>PROPIEDAD</v>
          </cell>
          <cell r="D158" t="str">
            <v>5</v>
          </cell>
          <cell r="E158" t="str">
            <v>PROPIEDAD</v>
          </cell>
          <cell r="F158" t="str">
            <v>ACTIVO</v>
          </cell>
          <cell r="G158" t="str">
            <v>2</v>
          </cell>
          <cell r="H158" t="str">
            <v>1002</v>
          </cell>
          <cell r="I158" t="str">
            <v>G.O.INVERSIONES S.L.</v>
          </cell>
          <cell r="J158">
            <v>1</v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>10227449</v>
          </cell>
          <cell r="P158" t="str">
            <v>4500424808</v>
          </cell>
        </row>
        <row r="159">
          <cell r="B159" t="str">
            <v>6271MXF</v>
          </cell>
          <cell r="C159" t="str">
            <v>PROPIEDAD</v>
          </cell>
          <cell r="D159" t="str">
            <v>5</v>
          </cell>
          <cell r="E159" t="str">
            <v>PROPIEDAD</v>
          </cell>
          <cell r="F159" t="str">
            <v>ACTIVO</v>
          </cell>
          <cell r="G159" t="str">
            <v>2</v>
          </cell>
          <cell r="H159" t="str">
            <v>1001</v>
          </cell>
          <cell r="I159" t="str">
            <v>AVSA</v>
          </cell>
          <cell r="J159">
            <v>24</v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>10229081</v>
          </cell>
          <cell r="P159" t="str">
            <v>4500426868</v>
          </cell>
        </row>
        <row r="160">
          <cell r="B160" t="str">
            <v>6334MXF</v>
          </cell>
          <cell r="C160" t="str">
            <v>PROPIEDAD</v>
          </cell>
          <cell r="D160" t="str">
            <v>5</v>
          </cell>
          <cell r="E160" t="str">
            <v>PROPIEDAD</v>
          </cell>
          <cell r="F160" t="str">
            <v>ACTIVO</v>
          </cell>
          <cell r="G160" t="str">
            <v>2</v>
          </cell>
          <cell r="H160" t="str">
            <v>1001</v>
          </cell>
          <cell r="I160" t="str">
            <v>AVSA</v>
          </cell>
          <cell r="J160">
            <v>25</v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>10229080</v>
          </cell>
          <cell r="P160" t="str">
            <v>4500426867</v>
          </cell>
        </row>
        <row r="161">
          <cell r="B161" t="str">
            <v>6370MXF</v>
          </cell>
          <cell r="C161" t="str">
            <v>PROPIEDAD</v>
          </cell>
          <cell r="D161" t="str">
            <v>5</v>
          </cell>
          <cell r="E161" t="str">
            <v>PROPIEDAD</v>
          </cell>
          <cell r="F161" t="str">
            <v>ACTIVO</v>
          </cell>
          <cell r="G161" t="str">
            <v>2</v>
          </cell>
          <cell r="H161" t="str">
            <v>1001</v>
          </cell>
          <cell r="I161" t="str">
            <v>AVSA</v>
          </cell>
          <cell r="J161">
            <v>26</v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>10228847</v>
          </cell>
          <cell r="P161" t="str">
            <v>4500426771</v>
          </cell>
        </row>
        <row r="162">
          <cell r="B162" t="str">
            <v>6398MWV</v>
          </cell>
          <cell r="C162" t="str">
            <v>PROPIEDAD</v>
          </cell>
          <cell r="D162" t="str">
            <v>5</v>
          </cell>
          <cell r="E162" t="str">
            <v>PROPIEDAD</v>
          </cell>
          <cell r="F162" t="str">
            <v>ACTIVO</v>
          </cell>
          <cell r="G162" t="str">
            <v>2</v>
          </cell>
          <cell r="H162" t="str">
            <v>1505</v>
          </cell>
          <cell r="I162" t="str">
            <v>CGAC</v>
          </cell>
          <cell r="J162">
            <v>34</v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>10226882</v>
          </cell>
          <cell r="P162" t="str">
            <v>4500424827</v>
          </cell>
        </row>
        <row r="163">
          <cell r="B163" t="str">
            <v>6439MWV</v>
          </cell>
          <cell r="C163" t="str">
            <v>PROPIEDAD</v>
          </cell>
          <cell r="D163" t="str">
            <v>5</v>
          </cell>
          <cell r="E163" t="str">
            <v>PROPIEDAD</v>
          </cell>
          <cell r="F163" t="str">
            <v>ACTIVO</v>
          </cell>
          <cell r="G163" t="str">
            <v>2</v>
          </cell>
          <cell r="H163" t="str">
            <v>1004</v>
          </cell>
          <cell r="I163" t="str">
            <v>G.O.MEDIOAMBIENTE S.L.</v>
          </cell>
          <cell r="J163">
            <v>8</v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>10226769</v>
          </cell>
          <cell r="P163" t="str">
            <v>4500424787</v>
          </cell>
        </row>
        <row r="164">
          <cell r="B164" t="str">
            <v>6442MWV</v>
          </cell>
          <cell r="C164" t="str">
            <v>PROPIEDAD</v>
          </cell>
          <cell r="D164" t="str">
            <v>5</v>
          </cell>
          <cell r="E164" t="str">
            <v>PROPIEDAD</v>
          </cell>
          <cell r="F164" t="str">
            <v>ACTIVO</v>
          </cell>
          <cell r="G164" t="str">
            <v>2</v>
          </cell>
          <cell r="H164" t="str">
            <v>1004</v>
          </cell>
          <cell r="I164" t="str">
            <v>G.O.MEDIOAMBIENTE S.L.</v>
          </cell>
          <cell r="J164">
            <v>9</v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>10227414</v>
          </cell>
          <cell r="P164" t="str">
            <v>4500424798</v>
          </cell>
        </row>
        <row r="165">
          <cell r="B165" t="str">
            <v>6444MWV</v>
          </cell>
          <cell r="C165" t="str">
            <v>PROPIEDAD</v>
          </cell>
          <cell r="D165" t="str">
            <v>5</v>
          </cell>
          <cell r="E165" t="str">
            <v>PROPIEDAD</v>
          </cell>
          <cell r="F165" t="str">
            <v>ACTIVO</v>
          </cell>
          <cell r="G165" t="str">
            <v>2</v>
          </cell>
          <cell r="H165" t="str">
            <v>1004</v>
          </cell>
          <cell r="I165" t="str">
            <v>G.O.MEDIOAMBIENTE S.L.</v>
          </cell>
          <cell r="J165">
            <v>10</v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>10227433</v>
          </cell>
          <cell r="P165" t="str">
            <v>4500424800</v>
          </cell>
        </row>
        <row r="166">
          <cell r="B166" t="str">
            <v>6445MWV</v>
          </cell>
          <cell r="C166" t="str">
            <v>PROPIEDAD</v>
          </cell>
          <cell r="D166" t="str">
            <v>5</v>
          </cell>
          <cell r="E166" t="str">
            <v>PROPIEDAD</v>
          </cell>
          <cell r="F166" t="str">
            <v>ACTIVO</v>
          </cell>
          <cell r="G166" t="str">
            <v>2</v>
          </cell>
          <cell r="H166" t="str">
            <v>1505</v>
          </cell>
          <cell r="I166" t="str">
            <v>CGAC</v>
          </cell>
          <cell r="J166">
            <v>35</v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>10227547</v>
          </cell>
          <cell r="P166" t="str">
            <v>4500424838</v>
          </cell>
        </row>
        <row r="167">
          <cell r="B167" t="str">
            <v>6492MWV</v>
          </cell>
          <cell r="C167" t="str">
            <v>PROPIEDAD</v>
          </cell>
          <cell r="D167" t="str">
            <v>5</v>
          </cell>
          <cell r="E167" t="str">
            <v>PROPIEDAD</v>
          </cell>
          <cell r="F167" t="str">
            <v>ACTIVO</v>
          </cell>
          <cell r="G167" t="str">
            <v>2</v>
          </cell>
          <cell r="H167" t="str">
            <v>1021</v>
          </cell>
          <cell r="I167" t="str">
            <v>MEDICION AVANZADA CONTAD.</v>
          </cell>
          <cell r="J167">
            <v>16</v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>10226828</v>
          </cell>
          <cell r="P167" t="str">
            <v>4500424794</v>
          </cell>
        </row>
        <row r="168">
          <cell r="B168" t="str">
            <v>6493MWV</v>
          </cell>
          <cell r="C168" t="str">
            <v>PROPIEDAD</v>
          </cell>
          <cell r="D168" t="str">
            <v>5</v>
          </cell>
          <cell r="E168" t="str">
            <v>PROPIEDAD</v>
          </cell>
          <cell r="F168" t="str">
            <v>ACTIVO</v>
          </cell>
          <cell r="G168" t="str">
            <v>2</v>
          </cell>
          <cell r="H168" t="str">
            <v>1021</v>
          </cell>
          <cell r="I168" t="str">
            <v>MEDICION AVANZADA CONTAD.</v>
          </cell>
          <cell r="J168">
            <v>17</v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>10227475</v>
          </cell>
          <cell r="P168" t="str">
            <v>4500424809</v>
          </cell>
        </row>
        <row r="169">
          <cell r="B169" t="str">
            <v>6558MWV</v>
          </cell>
          <cell r="C169" t="str">
            <v>PROPIEDAD</v>
          </cell>
          <cell r="D169" t="str">
            <v>5</v>
          </cell>
          <cell r="E169" t="str">
            <v>PROPIEDAD</v>
          </cell>
          <cell r="F169" t="str">
            <v>ACTIVO</v>
          </cell>
          <cell r="G169" t="str">
            <v>2</v>
          </cell>
          <cell r="H169" t="str">
            <v>1004</v>
          </cell>
          <cell r="I169" t="str">
            <v>G.O.MEDIOAMBIENTE S.L.</v>
          </cell>
          <cell r="J169">
            <v>11</v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>10227427</v>
          </cell>
          <cell r="P169" t="str">
            <v>4500424799</v>
          </cell>
        </row>
        <row r="170">
          <cell r="B170" t="str">
            <v>6559MWV</v>
          </cell>
          <cell r="C170" t="str">
            <v>PROPIEDAD</v>
          </cell>
          <cell r="D170" t="str">
            <v>5</v>
          </cell>
          <cell r="E170" t="str">
            <v>PROPIEDAD</v>
          </cell>
          <cell r="F170" t="str">
            <v>ACTIVO</v>
          </cell>
          <cell r="G170" t="str">
            <v>2</v>
          </cell>
          <cell r="H170" t="str">
            <v>1004</v>
          </cell>
          <cell r="I170" t="str">
            <v>G.O.MEDIOAMBIENTE S.L.</v>
          </cell>
          <cell r="J170">
            <v>12</v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>10228045</v>
          </cell>
          <cell r="P170" t="str">
            <v>4500425488</v>
          </cell>
        </row>
        <row r="171">
          <cell r="B171" t="str">
            <v>6727LMH</v>
          </cell>
          <cell r="C171" t="str">
            <v>PROPIEDAD</v>
          </cell>
          <cell r="D171" t="str">
            <v>5</v>
          </cell>
          <cell r="E171" t="str">
            <v>PROPIEDAD</v>
          </cell>
          <cell r="F171" t="str">
            <v>ACTIVO</v>
          </cell>
          <cell r="G171" t="str">
            <v>2</v>
          </cell>
          <cell r="H171" t="str">
            <v>1004</v>
          </cell>
          <cell r="I171" t="str">
            <v>G.O.MEDIOAMBIENTE S.L.</v>
          </cell>
          <cell r="J171">
            <v>13</v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>10199604</v>
          </cell>
          <cell r="P171" t="str">
            <v>X</v>
          </cell>
        </row>
        <row r="172">
          <cell r="B172" t="str">
            <v>6847MWL</v>
          </cell>
          <cell r="C172" t="str">
            <v>PROPIEDAD</v>
          </cell>
          <cell r="D172" t="str">
            <v>5</v>
          </cell>
          <cell r="E172" t="str">
            <v>PROPIEDAD</v>
          </cell>
          <cell r="F172" t="str">
            <v>ACTIVO</v>
          </cell>
          <cell r="G172" t="str">
            <v>2</v>
          </cell>
          <cell r="H172" t="str">
            <v>1505</v>
          </cell>
          <cell r="I172" t="str">
            <v>CGAC</v>
          </cell>
          <cell r="J172">
            <v>36</v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>10221891</v>
          </cell>
          <cell r="P172" t="str">
            <v>4500423384</v>
          </cell>
        </row>
        <row r="173">
          <cell r="B173" t="str">
            <v>6952MXF</v>
          </cell>
          <cell r="C173" t="str">
            <v>PROPIEDAD</v>
          </cell>
          <cell r="D173" t="str">
            <v>5</v>
          </cell>
          <cell r="E173" t="str">
            <v>PROPIEDAD</v>
          </cell>
          <cell r="F173" t="str">
            <v>ACTIVO</v>
          </cell>
          <cell r="G173" t="str">
            <v>2</v>
          </cell>
          <cell r="H173" t="str">
            <v>1002</v>
          </cell>
          <cell r="I173" t="str">
            <v>G.O.INVERSIONES S.L.</v>
          </cell>
          <cell r="J173">
            <v>2</v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>10229024</v>
          </cell>
          <cell r="P173" t="str">
            <v>4500426808</v>
          </cell>
        </row>
        <row r="174">
          <cell r="B174" t="str">
            <v>7725MXF</v>
          </cell>
          <cell r="C174" t="str">
            <v>PROPIEDAD</v>
          </cell>
          <cell r="D174" t="str">
            <v>5</v>
          </cell>
          <cell r="E174" t="str">
            <v>PROPIEDAD</v>
          </cell>
          <cell r="F174" t="str">
            <v>ACTIVO</v>
          </cell>
          <cell r="G174" t="str">
            <v>2</v>
          </cell>
          <cell r="H174" t="str">
            <v>1009</v>
          </cell>
          <cell r="I174" t="str">
            <v>GAMASER</v>
          </cell>
          <cell r="J174">
            <v>3</v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>10230148</v>
          </cell>
          <cell r="P174" t="str">
            <v>4500427623</v>
          </cell>
        </row>
        <row r="175">
          <cell r="B175" t="str">
            <v>7775MXF</v>
          </cell>
          <cell r="C175" t="str">
            <v>PROPIEDAD</v>
          </cell>
          <cell r="D175" t="str">
            <v>5</v>
          </cell>
          <cell r="E175" t="str">
            <v>PROPIEDAD</v>
          </cell>
          <cell r="F175" t="str">
            <v>ACTIVO</v>
          </cell>
          <cell r="G175" t="str">
            <v>2</v>
          </cell>
          <cell r="H175" t="str">
            <v>1009</v>
          </cell>
          <cell r="I175" t="str">
            <v>GAMASER</v>
          </cell>
          <cell r="J175">
            <v>4</v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>10228816</v>
          </cell>
          <cell r="P175" t="str">
            <v>4500426769</v>
          </cell>
        </row>
        <row r="176">
          <cell r="B176" t="str">
            <v>7830MXF</v>
          </cell>
          <cell r="C176" t="str">
            <v>PROPIEDAD</v>
          </cell>
          <cell r="D176" t="str">
            <v>5</v>
          </cell>
          <cell r="E176" t="str">
            <v>PROPIEDAD</v>
          </cell>
          <cell r="F176" t="str">
            <v>ACTIVO</v>
          </cell>
          <cell r="G176" t="str">
            <v>2</v>
          </cell>
          <cell r="H176" t="str">
            <v>1009</v>
          </cell>
          <cell r="I176" t="str">
            <v>GAMASER</v>
          </cell>
          <cell r="J176">
            <v>5</v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>10229226</v>
          </cell>
          <cell r="P176" t="str">
            <v>4500426871</v>
          </cell>
        </row>
        <row r="177">
          <cell r="B177" t="str">
            <v>8249MXG</v>
          </cell>
          <cell r="C177" t="str">
            <v>PROPIEDAD</v>
          </cell>
          <cell r="D177" t="str">
            <v>5</v>
          </cell>
          <cell r="E177" t="str">
            <v>PROPIEDAD</v>
          </cell>
          <cell r="F177" t="str">
            <v>ACTIVO</v>
          </cell>
          <cell r="G177" t="str">
            <v>2</v>
          </cell>
          <cell r="H177" t="str">
            <v>1053</v>
          </cell>
          <cell r="I177" t="str">
            <v>ISG</v>
          </cell>
          <cell r="J177">
            <v>8</v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>10228972</v>
          </cell>
          <cell r="P177" t="str">
            <v>4500426783</v>
          </cell>
        </row>
        <row r="178">
          <cell r="B178" t="str">
            <v>8349MXG</v>
          </cell>
          <cell r="C178" t="str">
            <v>PROPIEDAD</v>
          </cell>
          <cell r="D178" t="str">
            <v>5</v>
          </cell>
          <cell r="E178" t="str">
            <v>PROPIEDAD</v>
          </cell>
          <cell r="F178" t="str">
            <v>ACTIVO</v>
          </cell>
          <cell r="G178" t="str">
            <v>2</v>
          </cell>
          <cell r="H178" t="str">
            <v>1053</v>
          </cell>
          <cell r="I178" t="str">
            <v>ISG</v>
          </cell>
          <cell r="J178">
            <v>9</v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>10228950</v>
          </cell>
          <cell r="P178" t="str">
            <v>4500426779</v>
          </cell>
        </row>
        <row r="179">
          <cell r="B179" t="str">
            <v>8387MXG</v>
          </cell>
          <cell r="C179" t="str">
            <v>PROPIEDAD</v>
          </cell>
          <cell r="D179" t="str">
            <v>5</v>
          </cell>
          <cell r="E179" t="str">
            <v>PROPIEDAD</v>
          </cell>
          <cell r="F179" t="str">
            <v>ACTIVO</v>
          </cell>
          <cell r="G179" t="str">
            <v>2</v>
          </cell>
          <cell r="H179" t="str">
            <v>1053</v>
          </cell>
          <cell r="I179" t="str">
            <v>ISG</v>
          </cell>
          <cell r="J179">
            <v>10</v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>10229094</v>
          </cell>
          <cell r="P179" t="str">
            <v>4500426879</v>
          </cell>
        </row>
        <row r="180">
          <cell r="B180" t="str">
            <v>8392MXG</v>
          </cell>
          <cell r="C180" t="str">
            <v>PROPIEDAD</v>
          </cell>
          <cell r="D180" t="str">
            <v>5</v>
          </cell>
          <cell r="E180" t="str">
            <v>PROPIEDAD</v>
          </cell>
          <cell r="F180" t="str">
            <v>ACTIVO</v>
          </cell>
          <cell r="G180" t="str">
            <v>2</v>
          </cell>
          <cell r="H180" t="str">
            <v>1053</v>
          </cell>
          <cell r="I180" t="str">
            <v>ISG</v>
          </cell>
          <cell r="J180">
            <v>11</v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>10229232</v>
          </cell>
          <cell r="P180" t="str">
            <v>4500426874</v>
          </cell>
        </row>
        <row r="181">
          <cell r="B181" t="str">
            <v>8436MXG</v>
          </cell>
          <cell r="C181" t="str">
            <v>PROPIEDAD</v>
          </cell>
          <cell r="D181" t="str">
            <v>5</v>
          </cell>
          <cell r="E181" t="str">
            <v>PROPIEDAD</v>
          </cell>
          <cell r="F181" t="str">
            <v>ACTIVO</v>
          </cell>
          <cell r="G181" t="str">
            <v>2</v>
          </cell>
          <cell r="H181" t="str">
            <v>1053</v>
          </cell>
          <cell r="I181" t="str">
            <v>ISG</v>
          </cell>
          <cell r="J181">
            <v>12</v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>10228813</v>
          </cell>
          <cell r="P181" t="str">
            <v>4500426765</v>
          </cell>
        </row>
        <row r="182">
          <cell r="B182" t="str">
            <v>8479MWP</v>
          </cell>
          <cell r="C182" t="str">
            <v>PROPIEDAD</v>
          </cell>
          <cell r="D182" t="str">
            <v>5</v>
          </cell>
          <cell r="E182" t="str">
            <v>PROPIEDAD</v>
          </cell>
          <cell r="F182" t="str">
            <v>ACTIVO</v>
          </cell>
          <cell r="G182" t="str">
            <v>2</v>
          </cell>
          <cell r="H182" t="str">
            <v>1200</v>
          </cell>
          <cell r="I182" t="str">
            <v>EMIVASA</v>
          </cell>
          <cell r="J182">
            <v>40</v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>10227637</v>
          </cell>
          <cell r="P182" t="str">
            <v>4500424879</v>
          </cell>
        </row>
        <row r="183">
          <cell r="B183" t="str">
            <v>8480MWP</v>
          </cell>
          <cell r="C183" t="str">
            <v>PROPIEDAD</v>
          </cell>
          <cell r="D183" t="str">
            <v>5</v>
          </cell>
          <cell r="E183" t="str">
            <v>PROPIEDAD</v>
          </cell>
          <cell r="F183" t="str">
            <v>ACTIVO</v>
          </cell>
          <cell r="G183" t="str">
            <v>2</v>
          </cell>
          <cell r="H183" t="str">
            <v>1200</v>
          </cell>
          <cell r="I183" t="str">
            <v>EMIVASA</v>
          </cell>
          <cell r="J183">
            <v>41</v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>10227641</v>
          </cell>
          <cell r="P183" t="str">
            <v>4500424882</v>
          </cell>
        </row>
        <row r="184">
          <cell r="B184" t="str">
            <v>8481MWP</v>
          </cell>
          <cell r="C184" t="str">
            <v>PROPIEDAD</v>
          </cell>
          <cell r="D184" t="str">
            <v>5</v>
          </cell>
          <cell r="E184" t="str">
            <v>PROPIEDAD</v>
          </cell>
          <cell r="F184" t="str">
            <v>ACTIVO</v>
          </cell>
          <cell r="G184" t="str">
            <v>2</v>
          </cell>
          <cell r="H184" t="str">
            <v>1200</v>
          </cell>
          <cell r="I184" t="str">
            <v>EMIVASA</v>
          </cell>
          <cell r="J184">
            <v>42</v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>10227467</v>
          </cell>
          <cell r="P184" t="str">
            <v>4500424868</v>
          </cell>
        </row>
        <row r="185">
          <cell r="B185" t="str">
            <v>8486MWP</v>
          </cell>
          <cell r="C185" t="str">
            <v>PROPIEDAD</v>
          </cell>
          <cell r="D185" t="str">
            <v>5</v>
          </cell>
          <cell r="E185" t="str">
            <v>PROPIEDAD</v>
          </cell>
          <cell r="F185" t="str">
            <v>ACTIVO</v>
          </cell>
          <cell r="G185" t="str">
            <v>2</v>
          </cell>
          <cell r="H185" t="str">
            <v>1200</v>
          </cell>
          <cell r="I185" t="str">
            <v>EMIVASA</v>
          </cell>
          <cell r="J185">
            <v>43</v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>10227672</v>
          </cell>
          <cell r="P185" t="str">
            <v>4500424891</v>
          </cell>
        </row>
        <row r="186">
          <cell r="B186" t="str">
            <v>8487MWP</v>
          </cell>
          <cell r="C186" t="str">
            <v>PROPIEDAD</v>
          </cell>
          <cell r="D186" t="str">
            <v>5</v>
          </cell>
          <cell r="E186" t="str">
            <v>PROPIEDAD</v>
          </cell>
          <cell r="F186" t="str">
            <v>ACTIVO</v>
          </cell>
          <cell r="G186" t="str">
            <v>2</v>
          </cell>
          <cell r="H186" t="str">
            <v>1200</v>
          </cell>
          <cell r="I186" t="str">
            <v>EMIVASA</v>
          </cell>
          <cell r="J186">
            <v>44</v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>10227665</v>
          </cell>
          <cell r="P186" t="str">
            <v>4500424888</v>
          </cell>
        </row>
        <row r="187">
          <cell r="B187" t="str">
            <v>8488MWP</v>
          </cell>
          <cell r="C187" t="str">
            <v>PROPIEDAD</v>
          </cell>
          <cell r="D187" t="str">
            <v>5</v>
          </cell>
          <cell r="E187" t="str">
            <v>PROPIEDAD</v>
          </cell>
          <cell r="F187" t="str">
            <v>ACTIVO</v>
          </cell>
          <cell r="G187" t="str">
            <v>2</v>
          </cell>
          <cell r="H187" t="str">
            <v>1200</v>
          </cell>
          <cell r="I187" t="str">
            <v>EMIVASA</v>
          </cell>
          <cell r="J187">
            <v>45</v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>10227671</v>
          </cell>
          <cell r="P187" t="str">
            <v>4500424890</v>
          </cell>
        </row>
        <row r="188">
          <cell r="B188" t="str">
            <v>8496MXG</v>
          </cell>
          <cell r="C188" t="str">
            <v>PROPIEDAD</v>
          </cell>
          <cell r="D188" t="str">
            <v>5</v>
          </cell>
          <cell r="E188" t="str">
            <v>PROPIEDAD</v>
          </cell>
          <cell r="F188" t="str">
            <v>ACTIVO</v>
          </cell>
          <cell r="G188" t="str">
            <v>2</v>
          </cell>
          <cell r="H188" t="str">
            <v>1053</v>
          </cell>
          <cell r="I188" t="str">
            <v>ISG</v>
          </cell>
          <cell r="J188">
            <v>13</v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>10231171</v>
          </cell>
          <cell r="P188" t="str">
            <v>4500428761</v>
          </cell>
        </row>
        <row r="189">
          <cell r="B189" t="str">
            <v>8597MWT</v>
          </cell>
          <cell r="C189" t="str">
            <v>PROPIEDAD</v>
          </cell>
          <cell r="D189" t="str">
            <v>5</v>
          </cell>
          <cell r="E189" t="str">
            <v>PROPIEDAD</v>
          </cell>
          <cell r="F189" t="str">
            <v>ACTIVO</v>
          </cell>
          <cell r="G189" t="str">
            <v>2</v>
          </cell>
          <cell r="H189" t="str">
            <v>1505</v>
          </cell>
          <cell r="I189" t="str">
            <v>CGAC</v>
          </cell>
          <cell r="J189">
            <v>37</v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>10228988</v>
          </cell>
          <cell r="P189" t="str">
            <v>4500426784</v>
          </cell>
        </row>
        <row r="190">
          <cell r="B190" t="str">
            <v>8601MWT</v>
          </cell>
          <cell r="C190" t="str">
            <v>PROPIEDAD</v>
          </cell>
          <cell r="D190" t="str">
            <v>5</v>
          </cell>
          <cell r="E190" t="str">
            <v>PROPIEDAD</v>
          </cell>
          <cell r="F190" t="str">
            <v>ACTIVO</v>
          </cell>
          <cell r="G190" t="str">
            <v>2</v>
          </cell>
          <cell r="H190" t="str">
            <v>1505</v>
          </cell>
          <cell r="I190" t="str">
            <v>CGAC</v>
          </cell>
          <cell r="J190">
            <v>38</v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>10228789</v>
          </cell>
          <cell r="P190" t="str">
            <v>4500426757</v>
          </cell>
        </row>
        <row r="191">
          <cell r="B191" t="str">
            <v>8603MWT</v>
          </cell>
          <cell r="C191" t="str">
            <v>PROPIEDAD</v>
          </cell>
          <cell r="D191" t="str">
            <v>5</v>
          </cell>
          <cell r="E191" t="str">
            <v>PROPIEDAD</v>
          </cell>
          <cell r="F191" t="str">
            <v>ACTIVO</v>
          </cell>
          <cell r="G191" t="str">
            <v>2</v>
          </cell>
          <cell r="H191" t="str">
            <v>1505</v>
          </cell>
          <cell r="I191" t="str">
            <v>CGAC</v>
          </cell>
          <cell r="J191">
            <v>39</v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>10229008</v>
          </cell>
          <cell r="P191" t="str">
            <v>4500426788</v>
          </cell>
        </row>
        <row r="192">
          <cell r="B192" t="str">
            <v>8606MWT</v>
          </cell>
          <cell r="C192" t="str">
            <v>PROPIEDAD</v>
          </cell>
          <cell r="D192" t="str">
            <v>5</v>
          </cell>
          <cell r="E192" t="str">
            <v>PROPIEDAD</v>
          </cell>
          <cell r="F192" t="str">
            <v>ACTIVO</v>
          </cell>
          <cell r="G192" t="str">
            <v>2</v>
          </cell>
          <cell r="H192" t="str">
            <v>1505</v>
          </cell>
          <cell r="I192" t="str">
            <v>CGAC</v>
          </cell>
          <cell r="J192">
            <v>40</v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>10228917</v>
          </cell>
          <cell r="P192" t="str">
            <v>4500426774</v>
          </cell>
        </row>
        <row r="193">
          <cell r="B193" t="str">
            <v>8616MWT</v>
          </cell>
          <cell r="C193" t="str">
            <v>PROPIEDAD</v>
          </cell>
          <cell r="D193" t="str">
            <v>5</v>
          </cell>
          <cell r="E193" t="str">
            <v>PROPIEDAD</v>
          </cell>
          <cell r="F193" t="str">
            <v>ACTIVO</v>
          </cell>
          <cell r="G193" t="str">
            <v>2</v>
          </cell>
          <cell r="H193" t="str">
            <v>1505</v>
          </cell>
          <cell r="I193" t="str">
            <v>CGAC</v>
          </cell>
          <cell r="J193">
            <v>41</v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>10229005</v>
          </cell>
          <cell r="P193" t="str">
            <v>4500426787</v>
          </cell>
        </row>
        <row r="194">
          <cell r="B194" t="str">
            <v>8617MWT</v>
          </cell>
          <cell r="C194" t="str">
            <v>PROPIEDAD</v>
          </cell>
          <cell r="D194" t="str">
            <v>5</v>
          </cell>
          <cell r="E194" t="str">
            <v>PROPIEDAD</v>
          </cell>
          <cell r="F194" t="str">
            <v>ACTIVO</v>
          </cell>
          <cell r="G194" t="str">
            <v>2</v>
          </cell>
          <cell r="H194" t="str">
            <v>1505</v>
          </cell>
          <cell r="I194" t="str">
            <v>CGAC</v>
          </cell>
          <cell r="J194">
            <v>42</v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>10228915</v>
          </cell>
          <cell r="P194" t="str">
            <v>4500426773</v>
          </cell>
        </row>
        <row r="195">
          <cell r="B195" t="str">
            <v>8618MWT</v>
          </cell>
          <cell r="C195" t="str">
            <v>PROPIEDAD</v>
          </cell>
          <cell r="D195" t="str">
            <v>5</v>
          </cell>
          <cell r="E195" t="str">
            <v>PROPIEDAD</v>
          </cell>
          <cell r="F195" t="str">
            <v>ACTIVO</v>
          </cell>
          <cell r="G195" t="str">
            <v>2</v>
          </cell>
          <cell r="H195" t="str">
            <v>1505</v>
          </cell>
          <cell r="I195" t="str">
            <v>CGAC</v>
          </cell>
          <cell r="J195">
            <v>43</v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>10229051</v>
          </cell>
          <cell r="P195" t="str">
            <v>4500426845</v>
          </cell>
        </row>
        <row r="196">
          <cell r="B196" t="str">
            <v>8619MWT</v>
          </cell>
          <cell r="C196" t="str">
            <v>PROPIEDAD</v>
          </cell>
          <cell r="D196" t="str">
            <v>5</v>
          </cell>
          <cell r="E196" t="str">
            <v>PROPIEDAD</v>
          </cell>
          <cell r="F196" t="str">
            <v>ACTIVO</v>
          </cell>
          <cell r="G196" t="str">
            <v>2</v>
          </cell>
          <cell r="H196" t="str">
            <v>1505</v>
          </cell>
          <cell r="I196" t="str">
            <v>CGAC</v>
          </cell>
          <cell r="J196">
            <v>44</v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>10228841</v>
          </cell>
          <cell r="P196" t="str">
            <v>4500426770</v>
          </cell>
        </row>
        <row r="197">
          <cell r="B197" t="str">
            <v>8624MWT</v>
          </cell>
          <cell r="C197" t="str">
            <v>PROPIEDAD</v>
          </cell>
          <cell r="D197" t="str">
            <v>5</v>
          </cell>
          <cell r="E197" t="str">
            <v>PROPIEDAD</v>
          </cell>
          <cell r="F197" t="str">
            <v>ACTIVO</v>
          </cell>
          <cell r="G197" t="str">
            <v>2</v>
          </cell>
          <cell r="H197" t="str">
            <v>1505</v>
          </cell>
          <cell r="I197" t="str">
            <v>CGAC</v>
          </cell>
          <cell r="J197">
            <v>45</v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>10228963</v>
          </cell>
          <cell r="P197" t="str">
            <v>4500426782</v>
          </cell>
        </row>
        <row r="198">
          <cell r="B198" t="str">
            <v>8625MWT</v>
          </cell>
          <cell r="C198" t="str">
            <v>PROPIEDAD</v>
          </cell>
          <cell r="D198" t="str">
            <v>5</v>
          </cell>
          <cell r="E198" t="str">
            <v>PROPIEDAD</v>
          </cell>
          <cell r="F198" t="str">
            <v>ACTIVO</v>
          </cell>
          <cell r="G198" t="str">
            <v>2</v>
          </cell>
          <cell r="H198" t="str">
            <v>1505</v>
          </cell>
          <cell r="I198" t="str">
            <v>CGAC</v>
          </cell>
          <cell r="J198">
            <v>46</v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>10228807</v>
          </cell>
          <cell r="P198" t="str">
            <v>4500426759</v>
          </cell>
        </row>
        <row r="199">
          <cell r="B199" t="str">
            <v>8626MWT</v>
          </cell>
          <cell r="C199" t="str">
            <v>PROPIEDAD</v>
          </cell>
          <cell r="D199" t="str">
            <v>5</v>
          </cell>
          <cell r="E199" t="str">
            <v>PROPIEDAD</v>
          </cell>
          <cell r="F199" t="str">
            <v>ACTIVO</v>
          </cell>
          <cell r="G199" t="str">
            <v>2</v>
          </cell>
          <cell r="H199" t="str">
            <v>1066</v>
          </cell>
          <cell r="I199" t="str">
            <v>CANALIZ. CIVILES S.A.</v>
          </cell>
          <cell r="J199">
            <v>8</v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>10228814</v>
          </cell>
          <cell r="P199" t="str">
            <v>4500426766</v>
          </cell>
        </row>
        <row r="200">
          <cell r="B200" t="str">
            <v>8627MWT</v>
          </cell>
          <cell r="C200" t="str">
            <v>PROPIEDAD</v>
          </cell>
          <cell r="D200" t="str">
            <v>5</v>
          </cell>
          <cell r="E200" t="str">
            <v>PROPIEDAD</v>
          </cell>
          <cell r="F200" t="str">
            <v>ACTIVO</v>
          </cell>
          <cell r="G200" t="str">
            <v>2</v>
          </cell>
          <cell r="H200" t="str">
            <v>1066</v>
          </cell>
          <cell r="I200" t="str">
            <v>CANALIZ. CIVILES S.A.</v>
          </cell>
          <cell r="J200">
            <v>9</v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>10228999</v>
          </cell>
          <cell r="P200" t="str">
            <v>4500426785</v>
          </cell>
        </row>
        <row r="201">
          <cell r="B201" t="str">
            <v>8628MWT</v>
          </cell>
          <cell r="C201" t="str">
            <v>PROPIEDAD</v>
          </cell>
          <cell r="D201" t="str">
            <v>5</v>
          </cell>
          <cell r="E201" t="str">
            <v>PROPIEDAD</v>
          </cell>
          <cell r="F201" t="str">
            <v>ACTIVO</v>
          </cell>
          <cell r="G201" t="str">
            <v>2</v>
          </cell>
          <cell r="H201" t="str">
            <v>1066</v>
          </cell>
          <cell r="I201" t="str">
            <v>CANALIZ. CIVILES S.A.</v>
          </cell>
          <cell r="J201">
            <v>10</v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>10229045</v>
          </cell>
          <cell r="P201" t="str">
            <v>4500426799</v>
          </cell>
        </row>
        <row r="202">
          <cell r="B202" t="str">
            <v>8634MWT</v>
          </cell>
          <cell r="C202" t="str">
            <v>PROPIEDAD</v>
          </cell>
          <cell r="D202" t="str">
            <v>5</v>
          </cell>
          <cell r="E202" t="str">
            <v>PROPIEDAD</v>
          </cell>
          <cell r="F202" t="str">
            <v>ACTIVO</v>
          </cell>
          <cell r="G202" t="str">
            <v>2</v>
          </cell>
          <cell r="H202" t="str">
            <v>1066</v>
          </cell>
          <cell r="I202" t="str">
            <v>CANALIZ. CIVILES S.A.</v>
          </cell>
          <cell r="J202">
            <v>11</v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>10229057</v>
          </cell>
          <cell r="P202" t="str">
            <v>4500426851</v>
          </cell>
        </row>
        <row r="203">
          <cell r="B203" t="str">
            <v>8636MWT</v>
          </cell>
          <cell r="C203" t="str">
            <v>PROPIEDAD</v>
          </cell>
          <cell r="D203" t="str">
            <v>5</v>
          </cell>
          <cell r="E203" t="str">
            <v>PROPIEDAD</v>
          </cell>
          <cell r="F203" t="str">
            <v>ACTIVO</v>
          </cell>
          <cell r="G203" t="str">
            <v>2</v>
          </cell>
          <cell r="H203" t="str">
            <v>1066</v>
          </cell>
          <cell r="I203" t="str">
            <v>CANALIZ. CIVILES S.A.</v>
          </cell>
          <cell r="J203">
            <v>12</v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>10228953</v>
          </cell>
          <cell r="P203" t="str">
            <v>4500426780</v>
          </cell>
        </row>
        <row r="204">
          <cell r="B204" t="str">
            <v>8637MWT</v>
          </cell>
          <cell r="C204" t="str">
            <v>PROPIEDAD</v>
          </cell>
          <cell r="D204" t="str">
            <v>5</v>
          </cell>
          <cell r="E204" t="str">
            <v>PROPIEDAD</v>
          </cell>
          <cell r="F204" t="str">
            <v>ACTIVO</v>
          </cell>
          <cell r="G204" t="str">
            <v>2</v>
          </cell>
          <cell r="H204" t="str">
            <v>1066</v>
          </cell>
          <cell r="I204" t="str">
            <v>CANALIZ. CIVILES S.A.</v>
          </cell>
          <cell r="J204">
            <v>13</v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>10228936</v>
          </cell>
          <cell r="P204" t="str">
            <v>4500426776</v>
          </cell>
        </row>
        <row r="205">
          <cell r="B205" t="str">
            <v>8640MWT</v>
          </cell>
          <cell r="C205" t="str">
            <v>PROPIEDAD</v>
          </cell>
          <cell r="D205" t="str">
            <v>5</v>
          </cell>
          <cell r="E205" t="str">
            <v>PROPIEDAD</v>
          </cell>
          <cell r="F205" t="str">
            <v>ACTIVO</v>
          </cell>
          <cell r="G205" t="str">
            <v>2</v>
          </cell>
          <cell r="H205" t="str">
            <v>1066</v>
          </cell>
          <cell r="I205" t="str">
            <v>CANALIZ. CIVILES S.A.</v>
          </cell>
          <cell r="J205">
            <v>14</v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>10229023</v>
          </cell>
          <cell r="P205" t="str">
            <v>4500426797</v>
          </cell>
        </row>
        <row r="206">
          <cell r="B206" t="str">
            <v>8642MWT</v>
          </cell>
          <cell r="C206" t="str">
            <v>PROPIEDAD</v>
          </cell>
          <cell r="D206" t="str">
            <v>5</v>
          </cell>
          <cell r="E206" t="str">
            <v>PROPIEDAD</v>
          </cell>
          <cell r="F206" t="str">
            <v>ACTIVO</v>
          </cell>
          <cell r="G206" t="str">
            <v>2</v>
          </cell>
          <cell r="H206" t="str">
            <v>1066</v>
          </cell>
          <cell r="I206" t="str">
            <v>CANALIZ. CIVILES S.A.</v>
          </cell>
          <cell r="J206">
            <v>15</v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>10228815</v>
          </cell>
          <cell r="P206" t="str">
            <v>4500426768</v>
          </cell>
        </row>
        <row r="207">
          <cell r="B207" t="str">
            <v>8644MWT</v>
          </cell>
          <cell r="C207" t="str">
            <v>PROPIEDAD</v>
          </cell>
          <cell r="D207" t="str">
            <v>5</v>
          </cell>
          <cell r="E207" t="str">
            <v>PROPIEDAD</v>
          </cell>
          <cell r="F207" t="str">
            <v>ACTIVO</v>
          </cell>
          <cell r="G207" t="str">
            <v>2</v>
          </cell>
          <cell r="H207" t="str">
            <v>1066</v>
          </cell>
          <cell r="I207" t="str">
            <v>CANALIZ. CIVILES S.A.</v>
          </cell>
          <cell r="J207">
            <v>16</v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>10228879</v>
          </cell>
          <cell r="P207" t="str">
            <v>4500426772</v>
          </cell>
        </row>
        <row r="208">
          <cell r="B208" t="str">
            <v>8647MWT</v>
          </cell>
          <cell r="C208" t="str">
            <v>PROPIEDAD</v>
          </cell>
          <cell r="D208" t="str">
            <v>5</v>
          </cell>
          <cell r="E208" t="str">
            <v>PROPIEDAD</v>
          </cell>
          <cell r="F208" t="str">
            <v>ACTIVO</v>
          </cell>
          <cell r="G208" t="str">
            <v>2</v>
          </cell>
          <cell r="H208" t="str">
            <v>1066</v>
          </cell>
          <cell r="I208" t="str">
            <v>CANALIZ. CIVILES S.A.</v>
          </cell>
          <cell r="J208">
            <v>17</v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>10228810</v>
          </cell>
          <cell r="P208" t="str">
            <v>4500426761</v>
          </cell>
        </row>
        <row r="209">
          <cell r="B209" t="str">
            <v>8651MWT</v>
          </cell>
          <cell r="C209" t="str">
            <v>PROPIEDAD</v>
          </cell>
          <cell r="D209" t="str">
            <v>5</v>
          </cell>
          <cell r="E209" t="str">
            <v>PROPIEDAD</v>
          </cell>
          <cell r="F209" t="str">
            <v>ACTIVO</v>
          </cell>
          <cell r="G209" t="str">
            <v>2</v>
          </cell>
          <cell r="H209" t="str">
            <v>1066</v>
          </cell>
          <cell r="I209" t="str">
            <v>CANALIZ. CIVILES S.A.</v>
          </cell>
          <cell r="J209">
            <v>18</v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>10229228</v>
          </cell>
          <cell r="P209" t="str">
            <v>4500426872</v>
          </cell>
        </row>
        <row r="210">
          <cell r="B210" t="str">
            <v>8658MWT</v>
          </cell>
          <cell r="C210" t="str">
            <v>PROPIEDAD</v>
          </cell>
          <cell r="D210" t="str">
            <v>5</v>
          </cell>
          <cell r="E210" t="str">
            <v>PROPIEDAD</v>
          </cell>
          <cell r="F210" t="str">
            <v>ACTIVO</v>
          </cell>
          <cell r="G210" t="str">
            <v>2</v>
          </cell>
          <cell r="H210" t="str">
            <v>1066</v>
          </cell>
          <cell r="I210" t="str">
            <v>CANALIZ. CIVILES S.A.</v>
          </cell>
          <cell r="J210">
            <v>19</v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>10229044</v>
          </cell>
          <cell r="P210" t="str">
            <v>4500426798</v>
          </cell>
        </row>
        <row r="211">
          <cell r="B211" t="str">
            <v>8711MXK</v>
          </cell>
          <cell r="C211" t="str">
            <v>PROPIEDAD</v>
          </cell>
          <cell r="D211" t="str">
            <v>5</v>
          </cell>
          <cell r="E211" t="str">
            <v>PROPIEDAD</v>
          </cell>
          <cell r="F211" t="str">
            <v>ACTIVO</v>
          </cell>
          <cell r="G211" t="str">
            <v>2</v>
          </cell>
          <cell r="H211" t="str">
            <v>1064</v>
          </cell>
          <cell r="I211" t="str">
            <v>AYWA SER.AMBIENTALES SL</v>
          </cell>
          <cell r="J211">
            <v>8</v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>X</v>
          </cell>
          <cell r="P211" t="str">
            <v>X</v>
          </cell>
        </row>
        <row r="212">
          <cell r="B212" t="str">
            <v>8781MXK</v>
          </cell>
          <cell r="C212" t="str">
            <v>PROPIEDAD</v>
          </cell>
          <cell r="D212" t="str">
            <v>5</v>
          </cell>
          <cell r="E212" t="str">
            <v>PROPIEDAD</v>
          </cell>
          <cell r="F212" t="str">
            <v>ACTIVO</v>
          </cell>
          <cell r="G212" t="str">
            <v>2</v>
          </cell>
          <cell r="H212" t="str">
            <v>1021</v>
          </cell>
          <cell r="I212" t="str">
            <v>MEDICION AVANZADA CONTAD.</v>
          </cell>
          <cell r="J212">
            <v>18</v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>10233242</v>
          </cell>
          <cell r="P212" t="str">
            <v>4500426842</v>
          </cell>
        </row>
        <row r="213">
          <cell r="B213" t="str">
            <v>8796MXK</v>
          </cell>
          <cell r="C213" t="str">
            <v>PROPIEDAD</v>
          </cell>
          <cell r="D213" t="str">
            <v>5</v>
          </cell>
          <cell r="E213" t="str">
            <v>PROPIEDAD</v>
          </cell>
          <cell r="F213" t="str">
            <v>ACTIVO</v>
          </cell>
          <cell r="G213" t="str">
            <v>2</v>
          </cell>
          <cell r="H213" t="str">
            <v>1200</v>
          </cell>
          <cell r="I213" t="str">
            <v>EMIVASA</v>
          </cell>
          <cell r="J213">
            <v>46</v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>10229059</v>
          </cell>
          <cell r="P213" t="str">
            <v>4500426852</v>
          </cell>
        </row>
        <row r="214">
          <cell r="B214" t="str">
            <v>8994MSH</v>
          </cell>
          <cell r="C214" t="str">
            <v>PROPIEDAD</v>
          </cell>
          <cell r="D214" t="str">
            <v>5</v>
          </cell>
          <cell r="E214" t="str">
            <v>PROPIEDAD</v>
          </cell>
          <cell r="F214" t="str">
            <v>ACTIVO</v>
          </cell>
          <cell r="G214" t="str">
            <v>2</v>
          </cell>
          <cell r="H214" t="str">
            <v>1505</v>
          </cell>
          <cell r="I214" t="str">
            <v>CGAC</v>
          </cell>
          <cell r="J214">
            <v>47</v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>10206920</v>
          </cell>
          <cell r="P214" t="str">
            <v>X</v>
          </cell>
        </row>
        <row r="215">
          <cell r="B215" t="str">
            <v>8998MSH</v>
          </cell>
          <cell r="C215" t="str">
            <v>PROPIEDAD</v>
          </cell>
          <cell r="D215" t="str">
            <v>5</v>
          </cell>
          <cell r="E215" t="str">
            <v>PROPIEDAD</v>
          </cell>
          <cell r="F215" t="str">
            <v>ACTIVO</v>
          </cell>
          <cell r="G215" t="str">
            <v>2</v>
          </cell>
          <cell r="H215" t="str">
            <v>1505</v>
          </cell>
          <cell r="I215" t="str">
            <v>CGAC</v>
          </cell>
          <cell r="J215">
            <v>48</v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>10207345</v>
          </cell>
          <cell r="P215" t="str">
            <v>X</v>
          </cell>
        </row>
        <row r="216">
          <cell r="B216" t="str">
            <v>8999MSH</v>
          </cell>
          <cell r="C216" t="str">
            <v>PROPIEDAD</v>
          </cell>
          <cell r="D216" t="str">
            <v>5</v>
          </cell>
          <cell r="E216" t="str">
            <v>PROPIEDAD</v>
          </cell>
          <cell r="F216" t="str">
            <v>ACTIVO</v>
          </cell>
          <cell r="G216" t="str">
            <v>2</v>
          </cell>
          <cell r="H216" t="str">
            <v>1505</v>
          </cell>
          <cell r="I216" t="str">
            <v>CGAC</v>
          </cell>
          <cell r="J216">
            <v>49</v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>10207346</v>
          </cell>
          <cell r="P216" t="str">
            <v>X</v>
          </cell>
        </row>
        <row r="217">
          <cell r="B217" t="str">
            <v>9049MWN</v>
          </cell>
          <cell r="C217" t="str">
            <v>PROPIEDAD</v>
          </cell>
          <cell r="D217" t="str">
            <v>5</v>
          </cell>
          <cell r="E217" t="str">
            <v>PROPIEDAD</v>
          </cell>
          <cell r="F217" t="str">
            <v>ACTIVO</v>
          </cell>
          <cell r="G217" t="str">
            <v>2</v>
          </cell>
          <cell r="H217" t="str">
            <v>1001</v>
          </cell>
          <cell r="I217" t="str">
            <v>AVSA</v>
          </cell>
          <cell r="J217">
            <v>27</v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>10227541</v>
          </cell>
          <cell r="P217" t="str">
            <v>4500424811</v>
          </cell>
        </row>
        <row r="218">
          <cell r="B218" t="str">
            <v>9050MWN</v>
          </cell>
          <cell r="C218" t="str">
            <v>PROPIEDAD</v>
          </cell>
          <cell r="D218" t="str">
            <v>5</v>
          </cell>
          <cell r="E218" t="str">
            <v>PROPIEDAD</v>
          </cell>
          <cell r="F218" t="str">
            <v>ACTIVO</v>
          </cell>
          <cell r="G218" t="str">
            <v>2</v>
          </cell>
          <cell r="H218" t="str">
            <v>1001</v>
          </cell>
          <cell r="I218" t="str">
            <v>AVSA</v>
          </cell>
          <cell r="J218">
            <v>28</v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>10227469</v>
          </cell>
          <cell r="P218" t="str">
            <v>4500424807</v>
          </cell>
        </row>
        <row r="219">
          <cell r="B219" t="str">
            <v>9061MVW</v>
          </cell>
          <cell r="C219" t="str">
            <v>PROPIEDAD</v>
          </cell>
          <cell r="D219" t="str">
            <v>5</v>
          </cell>
          <cell r="E219" t="str">
            <v>PROPIEDAD</v>
          </cell>
          <cell r="F219" t="str">
            <v>ACTIVO</v>
          </cell>
          <cell r="G219" t="str">
            <v>2</v>
          </cell>
          <cell r="H219" t="str">
            <v>1832</v>
          </cell>
          <cell r="I219" t="str">
            <v>COSTA BELLVER SA</v>
          </cell>
          <cell r="J219">
            <v>2</v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>X</v>
          </cell>
          <cell r="P219" t="str">
            <v>X</v>
          </cell>
        </row>
        <row r="220">
          <cell r="B220" t="str">
            <v>9273MWZ</v>
          </cell>
          <cell r="C220" t="str">
            <v>PROPIEDAD</v>
          </cell>
          <cell r="D220" t="str">
            <v>5</v>
          </cell>
          <cell r="E220" t="str">
            <v>PROPIEDAD</v>
          </cell>
          <cell r="F220" t="str">
            <v>ACTIVO</v>
          </cell>
          <cell r="G220" t="str">
            <v>2</v>
          </cell>
          <cell r="H220" t="str">
            <v>1200</v>
          </cell>
          <cell r="I220" t="str">
            <v>EMIVASA</v>
          </cell>
          <cell r="J220">
            <v>47</v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>10227638</v>
          </cell>
          <cell r="P220" t="str">
            <v>4500424880</v>
          </cell>
        </row>
        <row r="221">
          <cell r="B221" t="str">
            <v>9275MWZ</v>
          </cell>
          <cell r="C221" t="str">
            <v>PROPIEDAD</v>
          </cell>
          <cell r="D221" t="str">
            <v>5</v>
          </cell>
          <cell r="E221" t="str">
            <v>PROPIEDAD</v>
          </cell>
          <cell r="F221" t="str">
            <v>ACTIVO</v>
          </cell>
          <cell r="G221" t="str">
            <v>2</v>
          </cell>
          <cell r="H221" t="str">
            <v>1200</v>
          </cell>
          <cell r="I221" t="str">
            <v>EMIVASA</v>
          </cell>
          <cell r="J221">
            <v>48</v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>10227695</v>
          </cell>
          <cell r="P221" t="str">
            <v>4500424900</v>
          </cell>
        </row>
        <row r="222">
          <cell r="B222" t="str">
            <v>9546MWW</v>
          </cell>
          <cell r="C222" t="str">
            <v>PROPIEDAD</v>
          </cell>
          <cell r="D222" t="str">
            <v>5</v>
          </cell>
          <cell r="E222" t="str">
            <v>PROPIEDAD</v>
          </cell>
          <cell r="F222" t="str">
            <v>ACTIVO</v>
          </cell>
          <cell r="G222" t="str">
            <v>2</v>
          </cell>
          <cell r="H222" t="str">
            <v>1021</v>
          </cell>
          <cell r="I222" t="str">
            <v>MEDICION AVANZADA CONTAD.</v>
          </cell>
          <cell r="J222">
            <v>19</v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>10227570</v>
          </cell>
          <cell r="P222" t="str">
            <v>4500424817</v>
          </cell>
        </row>
        <row r="223">
          <cell r="B223" t="str">
            <v>9925MWY</v>
          </cell>
          <cell r="C223" t="str">
            <v>PROPIEDAD</v>
          </cell>
          <cell r="D223" t="str">
            <v>5</v>
          </cell>
          <cell r="E223" t="str">
            <v>PROPIEDAD</v>
          </cell>
          <cell r="F223" t="str">
            <v>ACTIVO</v>
          </cell>
          <cell r="G223" t="str">
            <v>2</v>
          </cell>
          <cell r="H223" t="str">
            <v>1200</v>
          </cell>
          <cell r="I223" t="str">
            <v>EMIVASA</v>
          </cell>
          <cell r="J223">
            <v>49</v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>10227698</v>
          </cell>
          <cell r="P223" t="str">
            <v>4500424901</v>
          </cell>
        </row>
        <row r="224">
          <cell r="B224" t="str">
            <v>9926MWY</v>
          </cell>
          <cell r="C224" t="str">
            <v>PROPIEDAD</v>
          </cell>
          <cell r="D224" t="str">
            <v>5</v>
          </cell>
          <cell r="E224" t="str">
            <v>PROPIEDAD</v>
          </cell>
          <cell r="F224" t="str">
            <v>ACTIVO</v>
          </cell>
          <cell r="G224" t="str">
            <v>2</v>
          </cell>
          <cell r="H224" t="str">
            <v>1200</v>
          </cell>
          <cell r="I224" t="str">
            <v>EMIVASA</v>
          </cell>
          <cell r="J224">
            <v>50</v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>10227682</v>
          </cell>
          <cell r="P224" t="str">
            <v>4500424897</v>
          </cell>
        </row>
        <row r="225">
          <cell r="B225" t="str">
            <v>9927MWY</v>
          </cell>
          <cell r="C225" t="str">
            <v>PROPIEDAD</v>
          </cell>
          <cell r="D225" t="str">
            <v>5</v>
          </cell>
          <cell r="E225" t="str">
            <v>PROPIEDAD</v>
          </cell>
          <cell r="F225" t="str">
            <v>ACTIVO</v>
          </cell>
          <cell r="G225" t="str">
            <v>2</v>
          </cell>
          <cell r="H225" t="str">
            <v>1200</v>
          </cell>
          <cell r="I225" t="str">
            <v>EMIVASA</v>
          </cell>
          <cell r="J225">
            <v>51</v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>10227548</v>
          </cell>
          <cell r="P225" t="str">
            <v>4500424870</v>
          </cell>
        </row>
        <row r="226">
          <cell r="B226" t="str">
            <v>9928MWY</v>
          </cell>
          <cell r="C226" t="str">
            <v>PROPIEDAD</v>
          </cell>
          <cell r="D226" t="str">
            <v>5</v>
          </cell>
          <cell r="E226" t="str">
            <v>PROPIEDAD</v>
          </cell>
          <cell r="F226" t="str">
            <v>ACTIVO</v>
          </cell>
          <cell r="G226" t="str">
            <v>2</v>
          </cell>
          <cell r="H226" t="str">
            <v>1200</v>
          </cell>
          <cell r="I226" t="str">
            <v>EMIVASA</v>
          </cell>
          <cell r="J226">
            <v>52</v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>10227618</v>
          </cell>
          <cell r="P226" t="str">
            <v>4500424871</v>
          </cell>
        </row>
        <row r="227">
          <cell r="B227" t="str">
            <v>9929MWY</v>
          </cell>
          <cell r="C227" t="str">
            <v>PROPIEDAD</v>
          </cell>
          <cell r="D227" t="str">
            <v>5</v>
          </cell>
          <cell r="E227" t="str">
            <v>PROPIEDAD</v>
          </cell>
          <cell r="F227" t="str">
            <v>ACTIVO</v>
          </cell>
          <cell r="G227" t="str">
            <v>2</v>
          </cell>
          <cell r="H227" t="str">
            <v>1200</v>
          </cell>
          <cell r="I227" t="str">
            <v>EMIVASA</v>
          </cell>
          <cell r="J227">
            <v>53</v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>10227624</v>
          </cell>
          <cell r="P227" t="str">
            <v>4500424873</v>
          </cell>
        </row>
        <row r="228">
          <cell r="B228" t="str">
            <v>9930MWY</v>
          </cell>
          <cell r="C228" t="str">
            <v>PROPIEDAD</v>
          </cell>
          <cell r="D228" t="str">
            <v>5</v>
          </cell>
          <cell r="E228" t="str">
            <v>PROPIEDAD</v>
          </cell>
          <cell r="F228" t="str">
            <v>ACTIVO</v>
          </cell>
          <cell r="G228" t="str">
            <v>2</v>
          </cell>
          <cell r="H228" t="str">
            <v>1200</v>
          </cell>
          <cell r="I228" t="str">
            <v>EMIVASA</v>
          </cell>
          <cell r="J228">
            <v>54</v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>10227620</v>
          </cell>
          <cell r="P228" t="str">
            <v>4500424872</v>
          </cell>
        </row>
        <row r="229">
          <cell r="B229" t="str">
            <v>9931MWY</v>
          </cell>
          <cell r="C229" t="str">
            <v>PROPIEDAD</v>
          </cell>
          <cell r="D229" t="str">
            <v>5</v>
          </cell>
          <cell r="E229" t="str">
            <v>PROPIEDAD</v>
          </cell>
          <cell r="F229" t="str">
            <v>ACTIVO</v>
          </cell>
          <cell r="G229" t="str">
            <v>2</v>
          </cell>
          <cell r="H229" t="str">
            <v>1200</v>
          </cell>
          <cell r="I229" t="str">
            <v>EMIVASA</v>
          </cell>
          <cell r="J229">
            <v>55</v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>10227676</v>
          </cell>
          <cell r="P229" t="str">
            <v>4500424894</v>
          </cell>
        </row>
        <row r="230">
          <cell r="B230" t="str">
            <v>6051KRV</v>
          </cell>
          <cell r="C230" t="str">
            <v>PROPIEDAD</v>
          </cell>
          <cell r="D230" t="str">
            <v>5</v>
          </cell>
          <cell r="E230" t="str">
            <v>PROPIEDAD</v>
          </cell>
          <cell r="F230" t="str">
            <v>ACTIVO</v>
          </cell>
          <cell r="G230" t="str">
            <v>2</v>
          </cell>
          <cell r="H230" t="str">
            <v>1004</v>
          </cell>
          <cell r="I230" t="str">
            <v>G.O.MEDIOAMBIENTE S.L.</v>
          </cell>
          <cell r="J230">
            <v>14</v>
          </cell>
          <cell r="K230" t="str">
            <v/>
          </cell>
          <cell r="L230" t="str">
            <v/>
          </cell>
          <cell r="M230" t="str">
            <v/>
          </cell>
          <cell r="O230" t="str">
            <v>10200081</v>
          </cell>
          <cell r="P230" t="str">
            <v>X</v>
          </cell>
        </row>
        <row r="231">
          <cell r="B231" t="str">
            <v>0602KHK</v>
          </cell>
          <cell r="C231" t="str">
            <v>PROPIEDAD</v>
          </cell>
          <cell r="D231" t="str">
            <v>5</v>
          </cell>
          <cell r="E231" t="str">
            <v>PROPIEDAD</v>
          </cell>
          <cell r="F231" t="str">
            <v>ACTIVO</v>
          </cell>
          <cell r="G231" t="str">
            <v>2</v>
          </cell>
          <cell r="H231" t="str">
            <v>1053</v>
          </cell>
          <cell r="I231" t="str">
            <v>ISG</v>
          </cell>
          <cell r="J231">
            <v>14</v>
          </cell>
          <cell r="K231" t="str">
            <v/>
          </cell>
          <cell r="L231" t="str">
            <v/>
          </cell>
          <cell r="M231" t="str">
            <v/>
          </cell>
          <cell r="O231" t="str">
            <v>10210083</v>
          </cell>
          <cell r="P231" t="str">
            <v>4500409585</v>
          </cell>
        </row>
        <row r="232">
          <cell r="B232" t="str">
            <v>5995KSD</v>
          </cell>
          <cell r="C232" t="str">
            <v>PROPIEDAD</v>
          </cell>
          <cell r="D232" t="str">
            <v>5</v>
          </cell>
          <cell r="E232" t="str">
            <v>PROPIEDAD</v>
          </cell>
          <cell r="F232" t="str">
            <v>ACTIVO</v>
          </cell>
          <cell r="G232" t="str">
            <v>2</v>
          </cell>
          <cell r="H232" t="str">
            <v>1004</v>
          </cell>
          <cell r="I232" t="str">
            <v>G.O.MEDIOAMBIENTE S.L.</v>
          </cell>
          <cell r="J232">
            <v>15</v>
          </cell>
          <cell r="K232" t="str">
            <v/>
          </cell>
          <cell r="L232" t="str">
            <v/>
          </cell>
          <cell r="M232" t="str">
            <v/>
          </cell>
          <cell r="O232" t="str">
            <v>10200080</v>
          </cell>
          <cell r="P232" t="str">
            <v>X</v>
          </cell>
        </row>
        <row r="233">
          <cell r="B233" t="str">
            <v>4597LGC</v>
          </cell>
          <cell r="C233" t="str">
            <v>PROPIEDAD</v>
          </cell>
          <cell r="D233" t="str">
            <v>5</v>
          </cell>
          <cell r="E233" t="str">
            <v>PROPIEDAD</v>
          </cell>
          <cell r="F233" t="str">
            <v>ACTIVO</v>
          </cell>
          <cell r="G233" t="str">
            <v>2</v>
          </cell>
          <cell r="H233" t="str">
            <v>1053</v>
          </cell>
          <cell r="I233" t="str">
            <v>ISG</v>
          </cell>
          <cell r="J233">
            <v>15</v>
          </cell>
          <cell r="K233" t="str">
            <v/>
          </cell>
          <cell r="L233" t="str">
            <v/>
          </cell>
          <cell r="M233" t="str">
            <v/>
          </cell>
          <cell r="O233" t="str">
            <v>10197958</v>
          </cell>
          <cell r="P233" t="str">
            <v>5700007872</v>
          </cell>
        </row>
        <row r="234">
          <cell r="B234" t="str">
            <v>1954MXT</v>
          </cell>
          <cell r="C234" t="str">
            <v>PROPIEDAD</v>
          </cell>
          <cell r="D234" t="str">
            <v>5</v>
          </cell>
          <cell r="E234" t="str">
            <v>PROPIEDAD</v>
          </cell>
          <cell r="F234" t="str">
            <v>ACTIVO</v>
          </cell>
          <cell r="G234" t="str">
            <v>2</v>
          </cell>
          <cell r="H234" t="str">
            <v>1006</v>
          </cell>
          <cell r="I234" t="str">
            <v>ARAGONESA SER.PUBLICOS SL</v>
          </cell>
          <cell r="J234">
            <v>1</v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>10229010</v>
          </cell>
          <cell r="P234" t="str">
            <v>4500426789</v>
          </cell>
        </row>
        <row r="235">
          <cell r="B235" t="str">
            <v>1970MXT</v>
          </cell>
          <cell r="C235" t="str">
            <v>PROPIEDAD</v>
          </cell>
          <cell r="D235" t="str">
            <v>5</v>
          </cell>
          <cell r="E235" t="str">
            <v>PROPIEDAD</v>
          </cell>
          <cell r="F235" t="str">
            <v>ACTIVO</v>
          </cell>
          <cell r="G235" t="str">
            <v>2</v>
          </cell>
          <cell r="H235" t="str">
            <v>1006</v>
          </cell>
          <cell r="I235" t="str">
            <v>ARAGONESA SER.PUBLICOS SL</v>
          </cell>
          <cell r="J235">
            <v>2</v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>10228949</v>
          </cell>
          <cell r="P235" t="str">
            <v>4500426778</v>
          </cell>
        </row>
        <row r="236">
          <cell r="B236" t="str">
            <v>1976MXT</v>
          </cell>
          <cell r="C236" t="str">
            <v>PROPIEDAD</v>
          </cell>
          <cell r="D236" t="str">
            <v>5</v>
          </cell>
          <cell r="E236" t="str">
            <v>PROPIEDAD</v>
          </cell>
          <cell r="F236" t="str">
            <v>ACTIVO</v>
          </cell>
          <cell r="G236" t="str">
            <v>2</v>
          </cell>
          <cell r="H236" t="str">
            <v>1006</v>
          </cell>
          <cell r="I236" t="str">
            <v>ARAGONESA SER.PUBLICOS SL</v>
          </cell>
          <cell r="J236">
            <v>3</v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>10228812</v>
          </cell>
          <cell r="P236" t="str">
            <v>4500426764</v>
          </cell>
        </row>
        <row r="237">
          <cell r="B237" t="str">
            <v>2604MXV</v>
          </cell>
          <cell r="C237" t="str">
            <v>PROPIEDAD</v>
          </cell>
          <cell r="D237" t="str">
            <v>5</v>
          </cell>
          <cell r="E237" t="str">
            <v>PROPIEDAD</v>
          </cell>
          <cell r="F237" t="str">
            <v>ACTIVO</v>
          </cell>
          <cell r="G237" t="str">
            <v>2</v>
          </cell>
          <cell r="H237" t="str">
            <v>1832</v>
          </cell>
          <cell r="I237" t="str">
            <v>COSTA BELLVER SA</v>
          </cell>
          <cell r="J237">
            <v>3</v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>X</v>
          </cell>
          <cell r="P237" t="str">
            <v>X</v>
          </cell>
        </row>
        <row r="238">
          <cell r="B238" t="str">
            <v>6233MXY</v>
          </cell>
          <cell r="C238" t="str">
            <v>PROPIEDAD</v>
          </cell>
          <cell r="D238" t="str">
            <v>5</v>
          </cell>
          <cell r="E238" t="str">
            <v>PROPIEDAD</v>
          </cell>
          <cell r="F238" t="str">
            <v>ACTIVO</v>
          </cell>
          <cell r="G238" t="str">
            <v>2</v>
          </cell>
          <cell r="H238" t="str">
            <v>1505</v>
          </cell>
          <cell r="I238" t="str">
            <v>CGAC</v>
          </cell>
          <cell r="J238">
            <v>50</v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>10233654</v>
          </cell>
          <cell r="P238" t="str">
            <v>4500430884</v>
          </cell>
        </row>
        <row r="239">
          <cell r="B239" t="str">
            <v>7151MXV</v>
          </cell>
          <cell r="C239" t="str">
            <v>PROPIEDAD</v>
          </cell>
          <cell r="D239" t="str">
            <v>5</v>
          </cell>
          <cell r="E239" t="str">
            <v>PROPIEDAD</v>
          </cell>
          <cell r="F239" t="str">
            <v>ACTIVO</v>
          </cell>
          <cell r="G239" t="str">
            <v>2</v>
          </cell>
          <cell r="H239" t="str">
            <v>1490</v>
          </cell>
          <cell r="I239" t="str">
            <v>EMPRESA MIXTA CALPE</v>
          </cell>
          <cell r="J239">
            <v>1</v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>10229050</v>
          </cell>
          <cell r="P239" t="str">
            <v>4500426844</v>
          </cell>
        </row>
        <row r="240">
          <cell r="B240" t="str">
            <v>8662NDJ</v>
          </cell>
          <cell r="C240" t="str">
            <v>PROPIEDAD</v>
          </cell>
          <cell r="D240" t="str">
            <v>5</v>
          </cell>
          <cell r="E240" t="str">
            <v>PROPIEDAD</v>
          </cell>
          <cell r="F240" t="str">
            <v>ACTIVO</v>
          </cell>
          <cell r="G240" t="str">
            <v>2</v>
          </cell>
          <cell r="H240" t="str">
            <v>1200</v>
          </cell>
          <cell r="I240" t="str">
            <v>EMIVASA</v>
          </cell>
          <cell r="J240">
            <v>56</v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>X</v>
          </cell>
          <cell r="P240" t="str">
            <v>X</v>
          </cell>
        </row>
        <row r="241">
          <cell r="B241" t="str">
            <v>1634LRB</v>
          </cell>
          <cell r="C241" t="str">
            <v>PROPIEDAD</v>
          </cell>
          <cell r="D241" t="str">
            <v>5</v>
          </cell>
          <cell r="E241" t="str">
            <v>PROPIEDAD</v>
          </cell>
          <cell r="F241" t="str">
            <v>ACTIVO</v>
          </cell>
          <cell r="G241" t="str">
            <v>2</v>
          </cell>
          <cell r="H241" t="str">
            <v>1200</v>
          </cell>
          <cell r="I241" t="str">
            <v>EMIVASA</v>
          </cell>
          <cell r="J241">
            <v>57</v>
          </cell>
          <cell r="K241" t="str">
            <v/>
          </cell>
          <cell r="L241" t="str">
            <v/>
          </cell>
          <cell r="M241" t="str">
            <v/>
          </cell>
          <cell r="O241" t="str">
            <v>10245507</v>
          </cell>
          <cell r="P241" t="str">
            <v>4500443057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77DE7-86F0-4E5B-A590-404287E59600}" name="Tabla1" displayName="Tabla1" ref="A2:K350" totalsRowCount="1" headerRowDxfId="20" headerRowCellStyle="Normal 2" dataCellStyle="Normal 2">
  <autoFilter ref="A2:K349" xr:uid="{2B04584B-7D2B-4BA9-A360-534E42FF502A}"/>
  <tableColumns count="11">
    <tableColumn id="15" xr3:uid="{DCFAC53D-C9B7-40AA-9BD7-1814B09F182F}" name="Matricula nueva" dataDxfId="18" totalsRowDxfId="19" dataCellStyle="Normal 2"/>
    <tableColumn id="16" xr3:uid="{F9D65846-F668-46A0-9B79-694B1E8DF116}" name="Marca2" dataDxfId="16" totalsRowDxfId="17" dataCellStyle="Normal 2"/>
    <tableColumn id="17" xr3:uid="{918F8EE8-4338-494E-A8C8-C044995C61BA}" name="Modelo/Versión3" dataDxfId="14" totalsRowDxfId="15" dataCellStyle="Normal 2"/>
    <tableColumn id="18" xr3:uid="{FB29AEE5-8508-42E7-B0E3-4B2F77A0E9F3}" name="Combustible4" dataDxfId="12" totalsRowDxfId="13" dataCellStyle="Normal 2"/>
    <tableColumn id="19" xr3:uid="{09CCC770-1AA5-46DC-83A8-B823A00F04CE}" name="Ceco" dataDxfId="10" totalsRowDxfId="11" dataCellStyle="Normal 2"/>
    <tableColumn id="20" xr3:uid="{B6056421-ACF9-4C98-867C-2E0277F21073}" name="Renov. Flota" dataDxfId="8" totalsRowDxfId="9" dataCellStyle="Normal 2"/>
    <tableColumn id="21" xr3:uid="{F126579F-0C5B-49BA-877D-C8EDC6FA6ED2}" name="Fecha Alta" dataDxfId="6" totalsRowDxfId="7" dataCellStyle="Normal 2"/>
    <tableColumn id="22" xr3:uid="{67A9D4A9-EAB9-4301-9FCB-3D83B3FFD5E9}" name="Cod.Sociedad5" dataDxfId="4" totalsRowDxfId="5" dataCellStyle="Normal 2"/>
    <tableColumn id="37" xr3:uid="{E6F20837-B84C-45B5-968C-D617B476605E}" name="Pedido" dataDxfId="2" totalsRowDxfId="3" dataCellStyle="Normal 2">
      <calculatedColumnFormula>VLOOKUP(Tabla1[[#This Row],[Matricula nueva]],'[1]ALTA 20242025'!$B$1:$P$241,15,FALSE)</calculatedColumnFormula>
    </tableColumn>
    <tableColumn id="23" xr3:uid="{60272015-977D-43CF-A4C5-3E50B21B9E6E}" name="Sociedad6" dataDxfId="0" totalsRowDxfId="1" dataCellStyle="Normal 2"/>
    <tableColumn id="1" xr3:uid="{E6763FE6-DF48-4C78-88D6-B82A027AB429}" name="LOTE" dataCellStyle="Normal 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4C05-2FE1-4D7D-8812-668B6A537C2E}">
  <sheetPr>
    <tabColor rgb="FF00B050"/>
  </sheetPr>
  <dimension ref="A1:K350"/>
  <sheetViews>
    <sheetView tabSelected="1" zoomScale="70" zoomScaleNormal="70" workbookViewId="0">
      <pane ySplit="2" topLeftCell="A100" activePane="bottomLeft" state="frozen"/>
      <selection pane="bottomLeft" activeCell="A132" sqref="A132"/>
    </sheetView>
  </sheetViews>
  <sheetFormatPr defaultColWidth="10.85546875" defaultRowHeight="12.75" customHeight="1"/>
  <cols>
    <col min="1" max="1" width="16.5703125" style="1" customWidth="1"/>
    <col min="2" max="2" width="10.85546875" style="1"/>
    <col min="3" max="3" width="29.5703125" style="1" bestFit="1" customWidth="1"/>
    <col min="4" max="4" width="15.28515625" style="1" customWidth="1"/>
    <col min="5" max="5" width="10.85546875" style="1" customWidth="1"/>
    <col min="6" max="6" width="14.42578125" style="1" customWidth="1"/>
    <col min="7" max="7" width="12.85546875" style="1" customWidth="1"/>
    <col min="8" max="9" width="15.85546875" style="1" customWidth="1"/>
    <col min="10" max="10" width="34.85546875" style="1" customWidth="1"/>
    <col min="11" max="16384" width="10.85546875" style="1"/>
  </cols>
  <sheetData>
    <row r="1" spans="1:11">
      <c r="A1" s="46" t="s">
        <v>0</v>
      </c>
      <c r="B1" s="46"/>
      <c r="C1" s="46"/>
      <c r="D1" s="46"/>
      <c r="E1" s="46"/>
      <c r="F1" s="47"/>
      <c r="G1" s="46"/>
      <c r="H1" s="46"/>
      <c r="I1" s="46"/>
      <c r="J1" s="46"/>
      <c r="K1" s="42"/>
    </row>
    <row r="2" spans="1:11" s="6" customFormat="1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2" t="s">
        <v>7</v>
      </c>
      <c r="H2" s="4" t="s">
        <v>8</v>
      </c>
      <c r="I2" s="4" t="s">
        <v>9</v>
      </c>
      <c r="J2" s="4" t="s">
        <v>10</v>
      </c>
      <c r="K2" s="42" t="s">
        <v>11</v>
      </c>
    </row>
    <row r="3" spans="1:11">
      <c r="A3" s="8" t="e">
        <v>#N/A</v>
      </c>
      <c r="B3" s="8" t="e">
        <v>#N/A</v>
      </c>
      <c r="C3" s="8" t="e">
        <v>#N/A</v>
      </c>
      <c r="D3" s="8" t="e">
        <v>#N/A</v>
      </c>
      <c r="E3" s="8" t="e">
        <v>#N/A</v>
      </c>
      <c r="F3" s="7" t="e">
        <v>#N/A</v>
      </c>
      <c r="G3" s="9" t="e">
        <v>#N/A</v>
      </c>
      <c r="H3" s="10" t="e">
        <v>#N/A</v>
      </c>
      <c r="I3" s="10" t="e">
        <f>VLOOKUP(Tabla1[[#This Row],[Matricula nueva]],'[1]ALTA 20242025'!$B$1:$P$241,15,FALSE)</f>
        <v>#N/A</v>
      </c>
      <c r="J3" s="11" t="e">
        <v>#N/A</v>
      </c>
    </row>
    <row r="4" spans="1:11">
      <c r="A4" s="8" t="e">
        <v>#N/A</v>
      </c>
      <c r="B4" s="8" t="e">
        <v>#N/A</v>
      </c>
      <c r="C4" s="8" t="e">
        <v>#N/A</v>
      </c>
      <c r="D4" s="8" t="e">
        <v>#N/A</v>
      </c>
      <c r="E4" s="8" t="e">
        <v>#N/A</v>
      </c>
      <c r="F4" s="7" t="e">
        <v>#N/A</v>
      </c>
      <c r="G4" s="9" t="e">
        <v>#N/A</v>
      </c>
      <c r="H4" s="10" t="e">
        <v>#N/A</v>
      </c>
      <c r="I4" s="10" t="e">
        <f>VLOOKUP(Tabla1[[#This Row],[Matricula nueva]],'[1]ALTA 20242025'!$B$1:$P$241,15,FALSE)</f>
        <v>#N/A</v>
      </c>
      <c r="J4" s="11" t="e">
        <v>#N/A</v>
      </c>
    </row>
    <row r="5" spans="1:11">
      <c r="A5" s="8" t="e">
        <v>#N/A</v>
      </c>
      <c r="B5" s="8" t="e">
        <v>#N/A</v>
      </c>
      <c r="C5" s="8" t="e">
        <v>#N/A</v>
      </c>
      <c r="D5" s="8" t="e">
        <v>#N/A</v>
      </c>
      <c r="E5" s="8" t="e">
        <v>#N/A</v>
      </c>
      <c r="F5" s="12" t="e">
        <v>#N/A</v>
      </c>
      <c r="G5" s="9" t="e">
        <v>#N/A</v>
      </c>
      <c r="H5" s="10" t="e">
        <v>#N/A</v>
      </c>
      <c r="I5" s="10" t="e">
        <f>VLOOKUP(Tabla1[[#This Row],[Matricula nueva]],'[1]ALTA 20242025'!$B$1:$P$241,15,FALSE)</f>
        <v>#N/A</v>
      </c>
      <c r="J5" s="11" t="e">
        <v>#N/A</v>
      </c>
    </row>
    <row r="6" spans="1:11">
      <c r="A6" s="8" t="e">
        <v>#N/A</v>
      </c>
      <c r="B6" s="8" t="e">
        <v>#N/A</v>
      </c>
      <c r="C6" s="8" t="e">
        <v>#N/A</v>
      </c>
      <c r="D6" s="8" t="e">
        <v>#N/A</v>
      </c>
      <c r="E6" s="8" t="e">
        <v>#N/A</v>
      </c>
      <c r="F6" s="13" t="e">
        <v>#N/A</v>
      </c>
      <c r="G6" s="9" t="e">
        <v>#N/A</v>
      </c>
      <c r="H6" s="10" t="e">
        <v>#N/A</v>
      </c>
      <c r="I6" s="10" t="e">
        <f>VLOOKUP(Tabla1[[#This Row],[Matricula nueva]],'[1]ALTA 20242025'!$B$1:$P$241,15,FALSE)</f>
        <v>#N/A</v>
      </c>
      <c r="J6" s="11" t="e">
        <v>#N/A</v>
      </c>
    </row>
    <row r="7" spans="1:11">
      <c r="A7" s="8" t="s">
        <v>12</v>
      </c>
      <c r="B7" s="8" t="s">
        <v>13</v>
      </c>
      <c r="C7" s="8" t="s">
        <v>14</v>
      </c>
      <c r="D7" s="8" t="s">
        <v>15</v>
      </c>
      <c r="E7" s="15" t="s">
        <v>16</v>
      </c>
      <c r="F7" s="14" t="s">
        <v>17</v>
      </c>
      <c r="G7" s="16">
        <v>45625</v>
      </c>
      <c r="H7" s="10" t="s">
        <v>18</v>
      </c>
      <c r="I7" s="37" t="str">
        <f>VLOOKUP(Tabla1[[#This Row],[Matricula nueva]],'[1]ALTA 20242025'!$B$1:$P$241,15,FALSE)</f>
        <v>4500426762</v>
      </c>
      <c r="J7" s="17" t="s">
        <v>19</v>
      </c>
      <c r="K7" s="1" t="s">
        <v>20</v>
      </c>
    </row>
    <row r="8" spans="1:11">
      <c r="A8" s="8" t="s">
        <v>21</v>
      </c>
      <c r="B8" s="8" t="s">
        <v>13</v>
      </c>
      <c r="C8" s="8" t="s">
        <v>14</v>
      </c>
      <c r="D8" s="8" t="s">
        <v>15</v>
      </c>
      <c r="E8" s="15" t="s">
        <v>16</v>
      </c>
      <c r="F8" s="14" t="s">
        <v>17</v>
      </c>
      <c r="G8" s="16">
        <v>45625</v>
      </c>
      <c r="H8" s="10" t="s">
        <v>18</v>
      </c>
      <c r="I8" s="37" t="str">
        <f>VLOOKUP(Tabla1[[#This Row],[Matricula nueva]],'[1]ALTA 20242025'!$B$1:$P$241,15,FALSE)</f>
        <v>4500426781</v>
      </c>
      <c r="J8" s="17" t="s">
        <v>19</v>
      </c>
      <c r="K8" s="1" t="s">
        <v>20</v>
      </c>
    </row>
    <row r="9" spans="1:11">
      <c r="A9" s="8" t="s">
        <v>22</v>
      </c>
      <c r="B9" s="8" t="s">
        <v>23</v>
      </c>
      <c r="C9" s="8" t="s">
        <v>24</v>
      </c>
      <c r="D9" s="8" t="s">
        <v>15</v>
      </c>
      <c r="E9" s="15" t="s">
        <v>25</v>
      </c>
      <c r="F9" s="14" t="s">
        <v>17</v>
      </c>
      <c r="G9" s="16">
        <v>45483</v>
      </c>
      <c r="H9" s="10" t="s">
        <v>26</v>
      </c>
      <c r="I9" s="38">
        <v>4500407445</v>
      </c>
      <c r="J9" s="17" t="s">
        <v>27</v>
      </c>
      <c r="K9" s="1" t="s">
        <v>28</v>
      </c>
    </row>
    <row r="10" spans="1:11">
      <c r="A10" s="8" t="s">
        <v>29</v>
      </c>
      <c r="B10" s="8" t="s">
        <v>13</v>
      </c>
      <c r="C10" s="8" t="s">
        <v>30</v>
      </c>
      <c r="D10" s="8" t="s">
        <v>15</v>
      </c>
      <c r="E10" s="15" t="s">
        <v>31</v>
      </c>
      <c r="F10" s="14" t="s">
        <v>32</v>
      </c>
      <c r="G10" s="16">
        <v>45282</v>
      </c>
      <c r="H10" s="10" t="s">
        <v>26</v>
      </c>
      <c r="I10" s="38">
        <v>4500389150</v>
      </c>
      <c r="J10" s="17" t="s">
        <v>27</v>
      </c>
      <c r="K10" s="1" t="s">
        <v>28</v>
      </c>
    </row>
    <row r="11" spans="1:11">
      <c r="A11" s="8" t="s">
        <v>33</v>
      </c>
      <c r="B11" s="8" t="s">
        <v>13</v>
      </c>
      <c r="C11" s="8" t="s">
        <v>34</v>
      </c>
      <c r="D11" s="8" t="s">
        <v>15</v>
      </c>
      <c r="E11" s="15" t="s">
        <v>25</v>
      </c>
      <c r="F11" s="14" t="s">
        <v>17</v>
      </c>
      <c r="G11" s="16">
        <v>45481</v>
      </c>
      <c r="H11" s="10" t="s">
        <v>26</v>
      </c>
      <c r="I11" s="37" t="str">
        <f>VLOOKUP(Tabla1[[#This Row],[Matricula nueva]],'[1]ALTA 20242025'!$B$1:$P$241,15,FALSE)</f>
        <v>4500408050</v>
      </c>
      <c r="J11" s="17" t="s">
        <v>27</v>
      </c>
      <c r="K11" s="1" t="s">
        <v>28</v>
      </c>
    </row>
    <row r="12" spans="1:11">
      <c r="A12" s="8" t="s">
        <v>35</v>
      </c>
      <c r="B12" s="8" t="s">
        <v>36</v>
      </c>
      <c r="C12" s="8" t="s">
        <v>37</v>
      </c>
      <c r="D12" s="8" t="s">
        <v>15</v>
      </c>
      <c r="E12" s="15" t="s">
        <v>38</v>
      </c>
      <c r="F12" s="14" t="s">
        <v>32</v>
      </c>
      <c r="G12" s="16">
        <v>45133</v>
      </c>
      <c r="H12" s="10" t="s">
        <v>39</v>
      </c>
      <c r="I12" s="38">
        <v>4500370218</v>
      </c>
      <c r="J12" s="17" t="s">
        <v>40</v>
      </c>
      <c r="K12" s="1" t="s">
        <v>41</v>
      </c>
    </row>
    <row r="13" spans="1:11">
      <c r="A13" s="8" t="s">
        <v>42</v>
      </c>
      <c r="B13" s="8" t="s">
        <v>13</v>
      </c>
      <c r="C13" s="8" t="s">
        <v>30</v>
      </c>
      <c r="D13" s="8" t="s">
        <v>15</v>
      </c>
      <c r="E13" s="15" t="s">
        <v>43</v>
      </c>
      <c r="F13" s="14" t="s">
        <v>32</v>
      </c>
      <c r="G13" s="16">
        <v>44994</v>
      </c>
      <c r="H13" s="10" t="s">
        <v>39</v>
      </c>
      <c r="I13" s="38">
        <v>4500351521</v>
      </c>
      <c r="J13" s="17" t="s">
        <v>40</v>
      </c>
      <c r="K13" s="1" t="s">
        <v>41</v>
      </c>
    </row>
    <row r="14" spans="1:11" ht="13.5" thickBot="1">
      <c r="A14" s="8" t="s">
        <v>44</v>
      </c>
      <c r="B14" s="8" t="s">
        <v>13</v>
      </c>
      <c r="C14" s="8" t="s">
        <v>14</v>
      </c>
      <c r="D14" s="8" t="s">
        <v>15</v>
      </c>
      <c r="E14" s="15" t="s">
        <v>45</v>
      </c>
      <c r="F14" s="18" t="s">
        <v>17</v>
      </c>
      <c r="G14" s="16">
        <v>45645</v>
      </c>
      <c r="H14" s="10" t="s">
        <v>46</v>
      </c>
      <c r="I14" s="37" t="str">
        <f>VLOOKUP(Tabla1[[#This Row],[Matricula nueva]],'[1]ALTA 20242025'!$B$1:$P$241,15,FALSE)</f>
        <v>4500426876</v>
      </c>
      <c r="J14" s="17" t="s">
        <v>47</v>
      </c>
      <c r="K14" s="1" t="s">
        <v>48</v>
      </c>
    </row>
    <row r="15" spans="1:11" ht="13.5" thickBot="1">
      <c r="A15" s="8" t="e">
        <v>#N/A</v>
      </c>
      <c r="B15" s="8" t="e">
        <v>#N/A</v>
      </c>
      <c r="C15" s="8" t="e">
        <v>#N/A</v>
      </c>
      <c r="D15" s="8" t="e">
        <v>#N/A</v>
      </c>
      <c r="E15" s="8" t="e">
        <v>#N/A</v>
      </c>
      <c r="F15" s="7" t="e">
        <v>#N/A</v>
      </c>
      <c r="G15" s="9" t="e">
        <v>#N/A</v>
      </c>
      <c r="H15" s="10" t="e">
        <v>#N/A</v>
      </c>
      <c r="I15" s="10" t="e">
        <f>VLOOKUP(Tabla1[[#This Row],[Matricula nueva]],'[1]ALTA 20242025'!$B$1:$P$241,15,FALSE)</f>
        <v>#N/A</v>
      </c>
      <c r="J15" s="11" t="e">
        <v>#N/A</v>
      </c>
    </row>
    <row r="16" spans="1:11">
      <c r="A16" s="8" t="s">
        <v>49</v>
      </c>
      <c r="B16" s="8" t="s">
        <v>13</v>
      </c>
      <c r="C16" s="8" t="s">
        <v>14</v>
      </c>
      <c r="D16" s="8" t="s">
        <v>15</v>
      </c>
      <c r="E16" s="15" t="s">
        <v>50</v>
      </c>
      <c r="F16" s="19" t="s">
        <v>17</v>
      </c>
      <c r="G16" s="16">
        <v>45625</v>
      </c>
      <c r="H16" s="10" t="s">
        <v>18</v>
      </c>
      <c r="I16" s="37" t="str">
        <f>VLOOKUP(Tabla1[[#This Row],[Matricula nueva]],'[1]ALTA 20242025'!$B$1:$P$241,15,FALSE)</f>
        <v>4500426794</v>
      </c>
      <c r="J16" s="17" t="s">
        <v>19</v>
      </c>
      <c r="K16" s="1" t="s">
        <v>20</v>
      </c>
    </row>
    <row r="17" spans="1:11">
      <c r="A17" s="8" t="s">
        <v>51</v>
      </c>
      <c r="B17" s="8" t="s">
        <v>13</v>
      </c>
      <c r="C17" s="8" t="s">
        <v>14</v>
      </c>
      <c r="D17" s="8" t="s">
        <v>15</v>
      </c>
      <c r="E17" s="15" t="s">
        <v>52</v>
      </c>
      <c r="F17" s="14" t="s">
        <v>17</v>
      </c>
      <c r="G17" s="16">
        <v>45646</v>
      </c>
      <c r="H17" s="10" t="s">
        <v>18</v>
      </c>
      <c r="I17" s="37" t="str">
        <f>VLOOKUP(Tabla1[[#This Row],[Matricula nueva]],'[1]ALTA 20242025'!$B$1:$P$241,15,FALSE)</f>
        <v>4500426849</v>
      </c>
      <c r="J17" s="17" t="s">
        <v>19</v>
      </c>
      <c r="K17" s="1" t="s">
        <v>20</v>
      </c>
    </row>
    <row r="18" spans="1:11">
      <c r="A18" s="8" t="s">
        <v>53</v>
      </c>
      <c r="B18" s="8" t="s">
        <v>13</v>
      </c>
      <c r="C18" s="8" t="s">
        <v>14</v>
      </c>
      <c r="D18" s="8" t="s">
        <v>15</v>
      </c>
      <c r="E18" s="15" t="s">
        <v>54</v>
      </c>
      <c r="F18" s="14" t="s">
        <v>17</v>
      </c>
      <c r="G18" s="16">
        <v>45646</v>
      </c>
      <c r="H18" s="10" t="s">
        <v>18</v>
      </c>
      <c r="I18" s="37" t="str">
        <f>VLOOKUP(Tabla1[[#This Row],[Matricula nueva]],'[1]ALTA 20242025'!$B$1:$P$241,15,FALSE)</f>
        <v>4500426870</v>
      </c>
      <c r="J18" s="17" t="s">
        <v>19</v>
      </c>
      <c r="K18" s="1" t="s">
        <v>20</v>
      </c>
    </row>
    <row r="19" spans="1:11">
      <c r="A19" s="8" t="s">
        <v>55</v>
      </c>
      <c r="B19" s="8" t="s">
        <v>13</v>
      </c>
      <c r="C19" s="8" t="s">
        <v>14</v>
      </c>
      <c r="D19" s="8" t="s">
        <v>15</v>
      </c>
      <c r="E19" s="15" t="s">
        <v>52</v>
      </c>
      <c r="F19" s="14" t="s">
        <v>17</v>
      </c>
      <c r="G19" s="16">
        <v>45646</v>
      </c>
      <c r="H19" s="10" t="s">
        <v>18</v>
      </c>
      <c r="I19" s="37" t="str">
        <f>VLOOKUP(Tabla1[[#This Row],[Matricula nueva]],'[1]ALTA 20242025'!$B$1:$P$241,15,FALSE)</f>
        <v>4500426847</v>
      </c>
      <c r="J19" s="17" t="s">
        <v>19</v>
      </c>
      <c r="K19" s="1" t="s">
        <v>20</v>
      </c>
    </row>
    <row r="20" spans="1:11">
      <c r="A20" s="8" t="s">
        <v>56</v>
      </c>
      <c r="B20" s="8" t="s">
        <v>13</v>
      </c>
      <c r="C20" s="8" t="s">
        <v>14</v>
      </c>
      <c r="D20" s="8" t="s">
        <v>15</v>
      </c>
      <c r="E20" s="15" t="s">
        <v>57</v>
      </c>
      <c r="F20" s="14" t="s">
        <v>17</v>
      </c>
      <c r="G20" s="16">
        <v>45646</v>
      </c>
      <c r="H20" s="10" t="s">
        <v>58</v>
      </c>
      <c r="I20" s="37" t="str">
        <f>VLOOKUP(Tabla1[[#This Row],[Matricula nueva]],'[1]ALTA 20242025'!$B$1:$P$241,15,FALSE)</f>
        <v>4500426779</v>
      </c>
      <c r="J20" s="17" t="s">
        <v>59</v>
      </c>
      <c r="K20" s="1" t="s">
        <v>60</v>
      </c>
    </row>
    <row r="21" spans="1:11">
      <c r="A21" s="8" t="s">
        <v>61</v>
      </c>
      <c r="B21" s="8" t="s">
        <v>62</v>
      </c>
      <c r="C21" s="8" t="s">
        <v>63</v>
      </c>
      <c r="D21" s="8" t="s">
        <v>15</v>
      </c>
      <c r="E21" s="15" t="s">
        <v>64</v>
      </c>
      <c r="F21" s="14" t="s">
        <v>17</v>
      </c>
      <c r="G21" s="16">
        <v>45638</v>
      </c>
      <c r="H21" s="10" t="s">
        <v>65</v>
      </c>
      <c r="I21" s="37" t="str">
        <f>VLOOKUP(Tabla1[[#This Row],[Matricula nueva]],'[1]ALTA 20242025'!$B$1:$P$241,15,FALSE)</f>
        <v>4500424885</v>
      </c>
      <c r="J21" s="17" t="s">
        <v>66</v>
      </c>
      <c r="K21" s="1" t="s">
        <v>67</v>
      </c>
    </row>
    <row r="22" spans="1:11">
      <c r="A22" s="8" t="s">
        <v>68</v>
      </c>
      <c r="B22" s="8" t="s">
        <v>62</v>
      </c>
      <c r="C22" s="8" t="s">
        <v>63</v>
      </c>
      <c r="D22" s="8" t="s">
        <v>15</v>
      </c>
      <c r="E22" s="15" t="s">
        <v>69</v>
      </c>
      <c r="F22" s="14" t="s">
        <v>17</v>
      </c>
      <c r="G22" s="16">
        <v>45625</v>
      </c>
      <c r="H22" s="10" t="s">
        <v>70</v>
      </c>
      <c r="I22" s="37" t="str">
        <f>VLOOKUP(Tabla1[[#This Row],[Matricula nueva]],'[1]ALTA 20242025'!$B$1:$P$241,15,FALSE)</f>
        <v>4500424805</v>
      </c>
      <c r="J22" s="17" t="s">
        <v>71</v>
      </c>
      <c r="K22" s="1" t="s">
        <v>72</v>
      </c>
    </row>
    <row r="23" spans="1:11">
      <c r="A23" s="8" t="s">
        <v>73</v>
      </c>
      <c r="B23" s="8" t="s">
        <v>62</v>
      </c>
      <c r="C23" s="8" t="s">
        <v>63</v>
      </c>
      <c r="D23" s="8" t="s">
        <v>15</v>
      </c>
      <c r="E23" s="15" t="s">
        <v>74</v>
      </c>
      <c r="F23" s="14" t="s">
        <v>17</v>
      </c>
      <c r="G23" s="16">
        <v>45622</v>
      </c>
      <c r="H23" s="10" t="s">
        <v>46</v>
      </c>
      <c r="I23" s="37" t="str">
        <f>VLOOKUP(Tabla1[[#This Row],[Matricula nueva]],'[1]ALTA 20242025'!$B$1:$P$241,15,FALSE)</f>
        <v>4500424807</v>
      </c>
      <c r="J23" s="17" t="s">
        <v>47</v>
      </c>
      <c r="K23" s="1" t="s">
        <v>48</v>
      </c>
    </row>
    <row r="24" spans="1:11">
      <c r="A24" s="8" t="s">
        <v>75</v>
      </c>
      <c r="B24" s="8" t="s">
        <v>62</v>
      </c>
      <c r="C24" s="8" t="s">
        <v>63</v>
      </c>
      <c r="D24" s="8" t="s">
        <v>15</v>
      </c>
      <c r="E24" s="15" t="s">
        <v>76</v>
      </c>
      <c r="F24" s="14" t="s">
        <v>17</v>
      </c>
      <c r="G24" s="16">
        <v>45638</v>
      </c>
      <c r="H24" s="10" t="s">
        <v>65</v>
      </c>
      <c r="I24" s="37" t="str">
        <f>VLOOKUP(Tabla1[[#This Row],[Matricula nueva]],'[1]ALTA 20242025'!$B$1:$P$241,15,FALSE)</f>
        <v>4500424896</v>
      </c>
      <c r="J24" s="17" t="s">
        <v>66</v>
      </c>
      <c r="K24" s="1" t="s">
        <v>67</v>
      </c>
    </row>
    <row r="25" spans="1:11">
      <c r="A25" s="8" t="s">
        <v>77</v>
      </c>
      <c r="B25" s="8" t="s">
        <v>62</v>
      </c>
      <c r="C25" s="8" t="s">
        <v>63</v>
      </c>
      <c r="D25" s="8" t="s">
        <v>15</v>
      </c>
      <c r="E25" s="15" t="s">
        <v>76</v>
      </c>
      <c r="F25" s="14" t="s">
        <v>17</v>
      </c>
      <c r="G25" s="16">
        <v>45638</v>
      </c>
      <c r="H25" s="10" t="s">
        <v>65</v>
      </c>
      <c r="I25" s="37" t="str">
        <f>VLOOKUP(Tabla1[[#This Row],[Matricula nueva]],'[1]ALTA 20242025'!$B$1:$P$241,15,FALSE)</f>
        <v>4500424877</v>
      </c>
      <c r="J25" s="36" t="s">
        <v>66</v>
      </c>
      <c r="K25" s="1" t="s">
        <v>67</v>
      </c>
    </row>
    <row r="26" spans="1:11" ht="13.5" thickBot="1">
      <c r="A26" s="8" t="s">
        <v>78</v>
      </c>
      <c r="B26" s="8" t="s">
        <v>62</v>
      </c>
      <c r="C26" s="8" t="s">
        <v>63</v>
      </c>
      <c r="D26" s="8" t="s">
        <v>15</v>
      </c>
      <c r="E26" s="15" t="s">
        <v>79</v>
      </c>
      <c r="F26" s="18" t="s">
        <v>17</v>
      </c>
      <c r="G26" s="16">
        <v>45622</v>
      </c>
      <c r="H26" s="10" t="s">
        <v>46</v>
      </c>
      <c r="I26" s="37" t="str">
        <f>VLOOKUP(Tabla1[[#This Row],[Matricula nueva]],'[1]ALTA 20242025'!$B$1:$P$241,15,FALSE)</f>
        <v>4500424796</v>
      </c>
      <c r="J26" s="36" t="s">
        <v>47</v>
      </c>
      <c r="K26" s="1" t="s">
        <v>48</v>
      </c>
    </row>
    <row r="27" spans="1:11" ht="13.5" thickBot="1">
      <c r="A27" s="8" t="e">
        <v>#N/A</v>
      </c>
      <c r="B27" s="8" t="e">
        <v>#N/A</v>
      </c>
      <c r="C27" s="8" t="e">
        <v>#N/A</v>
      </c>
      <c r="D27" s="8" t="e">
        <v>#N/A</v>
      </c>
      <c r="E27" s="8" t="e">
        <v>#N/A</v>
      </c>
      <c r="F27" s="12" t="e">
        <v>#N/A</v>
      </c>
      <c r="G27" s="9" t="e">
        <v>#N/A</v>
      </c>
      <c r="H27" s="10" t="e">
        <v>#N/A</v>
      </c>
      <c r="I27" s="10" t="e">
        <f>VLOOKUP(Tabla1[[#This Row],[Matricula nueva]],'[1]ALTA 20242025'!$B$1:$P$241,15,FALSE)</f>
        <v>#N/A</v>
      </c>
      <c r="J27" s="11" t="e">
        <v>#N/A</v>
      </c>
    </row>
    <row r="28" spans="1:11" ht="13.5" thickBot="1">
      <c r="A28" s="8" t="e">
        <v>#N/A</v>
      </c>
      <c r="B28" s="8" t="e">
        <v>#N/A</v>
      </c>
      <c r="C28" s="8" t="e">
        <v>#N/A</v>
      </c>
      <c r="D28" s="8" t="e">
        <v>#N/A</v>
      </c>
      <c r="E28" s="8" t="e">
        <v>#N/A</v>
      </c>
      <c r="F28" s="9" t="e">
        <v>#N/A</v>
      </c>
      <c r="G28" s="9" t="e">
        <v>#N/A</v>
      </c>
      <c r="H28" s="10" t="e">
        <v>#N/A</v>
      </c>
      <c r="I28" s="10" t="e">
        <f>VLOOKUP(Tabla1[[#This Row],[Matricula nueva]],'[1]ALTA 20242025'!$B$1:$P$241,15,FALSE)</f>
        <v>#N/A</v>
      </c>
      <c r="J28" s="11" t="e">
        <v>#N/A</v>
      </c>
    </row>
    <row r="29" spans="1:11" ht="13.5" thickBot="1">
      <c r="A29" s="8" t="e">
        <v>#N/A</v>
      </c>
      <c r="B29" s="8" t="e">
        <v>#N/A</v>
      </c>
      <c r="C29" s="8" t="e">
        <v>#N/A</v>
      </c>
      <c r="D29" s="8" t="e">
        <v>#N/A</v>
      </c>
      <c r="E29" s="8" t="e">
        <v>#N/A</v>
      </c>
      <c r="F29" s="9" t="e">
        <v>#N/A</v>
      </c>
      <c r="G29" s="9" t="e">
        <v>#N/A</v>
      </c>
      <c r="H29" s="10" t="e">
        <v>#N/A</v>
      </c>
      <c r="I29" s="10" t="e">
        <f>VLOOKUP(Tabla1[[#This Row],[Matricula nueva]],'[1]ALTA 20242025'!$B$1:$P$241,15,FALSE)</f>
        <v>#N/A</v>
      </c>
      <c r="J29" s="11" t="e">
        <v>#N/A</v>
      </c>
    </row>
    <row r="30" spans="1:11" ht="13.5" thickBot="1">
      <c r="A30" s="8" t="e">
        <v>#N/A</v>
      </c>
      <c r="B30" s="8" t="e">
        <v>#N/A</v>
      </c>
      <c r="C30" s="8" t="e">
        <v>#N/A</v>
      </c>
      <c r="D30" s="8" t="e">
        <v>#N/A</v>
      </c>
      <c r="E30" s="8" t="e">
        <v>#N/A</v>
      </c>
      <c r="F30" s="9" t="e">
        <v>#N/A</v>
      </c>
      <c r="G30" s="9" t="e">
        <v>#N/A</v>
      </c>
      <c r="H30" s="10" t="e">
        <v>#N/A</v>
      </c>
      <c r="I30" s="10" t="e">
        <f>VLOOKUP(Tabla1[[#This Row],[Matricula nueva]],'[1]ALTA 20242025'!$B$1:$P$241,15,FALSE)</f>
        <v>#N/A</v>
      </c>
      <c r="J30" s="11" t="e">
        <v>#N/A</v>
      </c>
    </row>
    <row r="31" spans="1:11" ht="13.5" thickBot="1">
      <c r="A31" s="8" t="e">
        <v>#N/A</v>
      </c>
      <c r="B31" s="8" t="e">
        <v>#N/A</v>
      </c>
      <c r="C31" s="8" t="e">
        <v>#N/A</v>
      </c>
      <c r="D31" s="8" t="e">
        <v>#N/A</v>
      </c>
      <c r="E31" s="8" t="e">
        <v>#N/A</v>
      </c>
      <c r="F31" s="9" t="e">
        <v>#N/A</v>
      </c>
      <c r="G31" s="9" t="e">
        <v>#N/A</v>
      </c>
      <c r="H31" s="10" t="e">
        <v>#N/A</v>
      </c>
      <c r="I31" s="10" t="e">
        <f>VLOOKUP(Tabla1[[#This Row],[Matricula nueva]],'[1]ALTA 20242025'!$B$1:$P$241,15,FALSE)</f>
        <v>#N/A</v>
      </c>
      <c r="J31" s="11" t="e">
        <v>#N/A</v>
      </c>
    </row>
    <row r="32" spans="1:11" ht="13.5" thickBot="1">
      <c r="A32" s="8" t="e">
        <v>#N/A</v>
      </c>
      <c r="B32" s="8" t="e">
        <v>#N/A</v>
      </c>
      <c r="C32" s="8" t="e">
        <v>#N/A</v>
      </c>
      <c r="D32" s="8" t="e">
        <v>#N/A</v>
      </c>
      <c r="E32" s="8" t="e">
        <v>#N/A</v>
      </c>
      <c r="F32" s="9" t="e">
        <v>#N/A</v>
      </c>
      <c r="G32" s="9" t="e">
        <v>#N/A</v>
      </c>
      <c r="H32" s="10" t="e">
        <v>#N/A</v>
      </c>
      <c r="I32" s="10" t="e">
        <f>VLOOKUP(Tabla1[[#This Row],[Matricula nueva]],'[1]ALTA 20242025'!$B$1:$P$241,15,FALSE)</f>
        <v>#N/A</v>
      </c>
      <c r="J32" s="11" t="e">
        <v>#N/A</v>
      </c>
    </row>
    <row r="33" spans="1:11" ht="13.5" thickBot="1">
      <c r="A33" s="8" t="e">
        <v>#N/A</v>
      </c>
      <c r="B33" s="8" t="e">
        <v>#N/A</v>
      </c>
      <c r="C33" s="8" t="e">
        <v>#N/A</v>
      </c>
      <c r="D33" s="8" t="e">
        <v>#N/A</v>
      </c>
      <c r="E33" s="8" t="e">
        <v>#N/A</v>
      </c>
      <c r="F33" s="9" t="e">
        <v>#N/A</v>
      </c>
      <c r="G33" s="9" t="e">
        <v>#N/A</v>
      </c>
      <c r="H33" s="10" t="e">
        <v>#N/A</v>
      </c>
      <c r="I33" s="10" t="e">
        <f>VLOOKUP(Tabla1[[#This Row],[Matricula nueva]],'[1]ALTA 20242025'!$B$1:$P$241,15,FALSE)</f>
        <v>#N/A</v>
      </c>
      <c r="J33" s="11" t="e">
        <v>#N/A</v>
      </c>
    </row>
    <row r="34" spans="1:11" ht="13.5" thickBot="1">
      <c r="A34" s="8" t="e">
        <v>#N/A</v>
      </c>
      <c r="B34" s="8" t="e">
        <v>#N/A</v>
      </c>
      <c r="C34" s="8" t="e">
        <v>#N/A</v>
      </c>
      <c r="D34" s="8" t="e">
        <v>#N/A</v>
      </c>
      <c r="E34" s="8" t="e">
        <v>#N/A</v>
      </c>
      <c r="F34" s="9" t="e">
        <v>#N/A</v>
      </c>
      <c r="G34" s="9" t="e">
        <v>#N/A</v>
      </c>
      <c r="H34" s="10" t="e">
        <v>#N/A</v>
      </c>
      <c r="I34" s="10" t="e">
        <f>VLOOKUP(Tabla1[[#This Row],[Matricula nueva]],'[1]ALTA 20242025'!$B$1:$P$241,15,FALSE)</f>
        <v>#N/A</v>
      </c>
      <c r="J34" s="11" t="e">
        <v>#N/A</v>
      </c>
    </row>
    <row r="35" spans="1:11" ht="13.5" thickBot="1">
      <c r="A35" s="8" t="e">
        <v>#N/A</v>
      </c>
      <c r="B35" s="8" t="e">
        <v>#N/A</v>
      </c>
      <c r="C35" s="8" t="e">
        <v>#N/A</v>
      </c>
      <c r="D35" s="8" t="e">
        <v>#N/A</v>
      </c>
      <c r="E35" s="8" t="e">
        <v>#N/A</v>
      </c>
      <c r="F35" s="13" t="e">
        <v>#N/A</v>
      </c>
      <c r="G35" s="9" t="e">
        <v>#N/A</v>
      </c>
      <c r="H35" s="10" t="e">
        <v>#N/A</v>
      </c>
      <c r="I35" s="10" t="e">
        <f>VLOOKUP(Tabla1[[#This Row],[Matricula nueva]],'[1]ALTA 20242025'!$B$1:$P$241,15,FALSE)</f>
        <v>#N/A</v>
      </c>
      <c r="J35" s="11" t="e">
        <v>#N/A</v>
      </c>
    </row>
    <row r="36" spans="1:11" ht="13.5" thickBot="1">
      <c r="A36" s="8" t="s">
        <v>80</v>
      </c>
      <c r="B36" s="8" t="s">
        <v>62</v>
      </c>
      <c r="C36" s="8" t="s">
        <v>63</v>
      </c>
      <c r="D36" s="8" t="s">
        <v>15</v>
      </c>
      <c r="E36" s="15" t="s">
        <v>81</v>
      </c>
      <c r="F36" s="20" t="s">
        <v>17</v>
      </c>
      <c r="G36" s="16">
        <v>45625</v>
      </c>
      <c r="H36" s="10" t="s">
        <v>46</v>
      </c>
      <c r="I36" s="37" t="str">
        <f>VLOOKUP(Tabla1[[#This Row],[Matricula nueva]],'[1]ALTA 20242025'!$B$1:$P$241,15,FALSE)</f>
        <v>4500424793</v>
      </c>
      <c r="J36" s="17" t="s">
        <v>47</v>
      </c>
      <c r="K36" s="1" t="s">
        <v>48</v>
      </c>
    </row>
    <row r="37" spans="1:11" ht="13.5" thickBot="1">
      <c r="A37" s="8" t="e">
        <v>#N/A</v>
      </c>
      <c r="B37" s="8" t="e">
        <v>#N/A</v>
      </c>
      <c r="C37" s="8" t="e">
        <v>#N/A</v>
      </c>
      <c r="D37" s="8" t="e">
        <v>#N/A</v>
      </c>
      <c r="E37" s="8" t="e">
        <v>#N/A</v>
      </c>
      <c r="F37" s="12" t="e">
        <v>#N/A</v>
      </c>
      <c r="G37" s="9" t="e">
        <v>#N/A</v>
      </c>
      <c r="H37" s="10" t="e">
        <v>#N/A</v>
      </c>
      <c r="I37" s="10" t="e">
        <f>VLOOKUP(Tabla1[[#This Row],[Matricula nueva]],'[1]ALTA 20242025'!$B$1:$P$241,15,FALSE)</f>
        <v>#N/A</v>
      </c>
      <c r="J37" s="11" t="e">
        <v>#N/A</v>
      </c>
    </row>
    <row r="38" spans="1:11" ht="13.5" thickBot="1">
      <c r="A38" s="8" t="e">
        <v>#N/A</v>
      </c>
      <c r="B38" s="8" t="e">
        <v>#N/A</v>
      </c>
      <c r="C38" s="8" t="e">
        <v>#N/A</v>
      </c>
      <c r="D38" s="8" t="e">
        <v>#N/A</v>
      </c>
      <c r="E38" s="8" t="e">
        <v>#N/A</v>
      </c>
      <c r="F38" s="9" t="e">
        <v>#N/A</v>
      </c>
      <c r="G38" s="9" t="e">
        <v>#N/A</v>
      </c>
      <c r="H38" s="10" t="e">
        <v>#N/A</v>
      </c>
      <c r="I38" s="10" t="e">
        <f>VLOOKUP(Tabla1[[#This Row],[Matricula nueva]],'[1]ALTA 20242025'!$B$1:$P$241,15,FALSE)</f>
        <v>#N/A</v>
      </c>
      <c r="J38" s="11" t="e">
        <v>#N/A</v>
      </c>
    </row>
    <row r="39" spans="1:11" ht="13.5" thickBot="1">
      <c r="A39" s="8" t="e">
        <v>#N/A</v>
      </c>
      <c r="B39" s="8" t="e">
        <v>#N/A</v>
      </c>
      <c r="C39" s="8" t="e">
        <v>#N/A</v>
      </c>
      <c r="D39" s="8" t="e">
        <v>#N/A</v>
      </c>
      <c r="E39" s="8" t="e">
        <v>#N/A</v>
      </c>
      <c r="F39" s="9" t="e">
        <v>#N/A</v>
      </c>
      <c r="G39" s="9" t="e">
        <v>#N/A</v>
      </c>
      <c r="H39" s="10" t="e">
        <v>#N/A</v>
      </c>
      <c r="I39" s="10" t="e">
        <f>VLOOKUP(Tabla1[[#This Row],[Matricula nueva]],'[1]ALTA 20242025'!$B$1:$P$241,15,FALSE)</f>
        <v>#N/A</v>
      </c>
      <c r="J39" s="11" t="e">
        <v>#N/A</v>
      </c>
    </row>
    <row r="40" spans="1:11" ht="13.5" thickBot="1">
      <c r="A40" s="8" t="e">
        <v>#N/A</v>
      </c>
      <c r="B40" s="8" t="e">
        <v>#N/A</v>
      </c>
      <c r="C40" s="8" t="e">
        <v>#N/A</v>
      </c>
      <c r="D40" s="8" t="e">
        <v>#N/A</v>
      </c>
      <c r="E40" s="8" t="e">
        <v>#N/A</v>
      </c>
      <c r="F40" s="9" t="e">
        <v>#N/A</v>
      </c>
      <c r="G40" s="9" t="e">
        <v>#N/A</v>
      </c>
      <c r="H40" s="10" t="e">
        <v>#N/A</v>
      </c>
      <c r="I40" s="10" t="e">
        <f>VLOOKUP(Tabla1[[#This Row],[Matricula nueva]],'[1]ALTA 20242025'!$B$1:$P$241,15,FALSE)</f>
        <v>#N/A</v>
      </c>
      <c r="J40" s="11" t="e">
        <v>#N/A</v>
      </c>
    </row>
    <row r="41" spans="1:11" ht="13.5" thickBot="1">
      <c r="A41" s="8" t="e">
        <v>#N/A</v>
      </c>
      <c r="B41" s="8" t="e">
        <v>#N/A</v>
      </c>
      <c r="C41" s="8" t="e">
        <v>#N/A</v>
      </c>
      <c r="D41" s="8" t="e">
        <v>#N/A</v>
      </c>
      <c r="E41" s="8" t="e">
        <v>#N/A</v>
      </c>
      <c r="F41" s="9" t="e">
        <v>#N/A</v>
      </c>
      <c r="G41" s="9" t="e">
        <v>#N/A</v>
      </c>
      <c r="H41" s="10" t="e">
        <v>#N/A</v>
      </c>
      <c r="I41" s="10" t="e">
        <f>VLOOKUP(Tabla1[[#This Row],[Matricula nueva]],'[1]ALTA 20242025'!$B$1:$P$241,15,FALSE)</f>
        <v>#N/A</v>
      </c>
      <c r="J41" s="11" t="e">
        <v>#N/A</v>
      </c>
    </row>
    <row r="42" spans="1:11" ht="13.5" thickBot="1">
      <c r="A42" s="8" t="e">
        <v>#N/A</v>
      </c>
      <c r="B42" s="8" t="e">
        <v>#N/A</v>
      </c>
      <c r="C42" s="8" t="e">
        <v>#N/A</v>
      </c>
      <c r="D42" s="8" t="e">
        <v>#N/A</v>
      </c>
      <c r="E42" s="8" t="e">
        <v>#N/A</v>
      </c>
      <c r="F42" s="9" t="e">
        <v>#N/A</v>
      </c>
      <c r="G42" s="9" t="e">
        <v>#N/A</v>
      </c>
      <c r="H42" s="10" t="e">
        <v>#N/A</v>
      </c>
      <c r="I42" s="10" t="e">
        <f>VLOOKUP(Tabla1[[#This Row],[Matricula nueva]],'[1]ALTA 20242025'!$B$1:$P$241,15,FALSE)</f>
        <v>#N/A</v>
      </c>
      <c r="J42" s="11" t="e">
        <v>#N/A</v>
      </c>
    </row>
    <row r="43" spans="1:11" ht="13.5" thickBot="1">
      <c r="A43" s="8" t="e">
        <v>#N/A</v>
      </c>
      <c r="B43" s="8" t="e">
        <v>#N/A</v>
      </c>
      <c r="C43" s="8" t="e">
        <v>#N/A</v>
      </c>
      <c r="D43" s="8" t="e">
        <v>#N/A</v>
      </c>
      <c r="E43" s="8" t="e">
        <v>#N/A</v>
      </c>
      <c r="F43" s="9" t="e">
        <v>#N/A</v>
      </c>
      <c r="G43" s="9" t="e">
        <v>#N/A</v>
      </c>
      <c r="H43" s="10" t="e">
        <v>#N/A</v>
      </c>
      <c r="I43" s="10" t="e">
        <f>VLOOKUP(Tabla1[[#This Row],[Matricula nueva]],'[1]ALTA 20242025'!$B$1:$P$241,15,FALSE)</f>
        <v>#N/A</v>
      </c>
      <c r="J43" s="11" t="e">
        <v>#N/A</v>
      </c>
    </row>
    <row r="44" spans="1:11" ht="13.5" thickBot="1">
      <c r="A44" s="8" t="e">
        <v>#N/A</v>
      </c>
      <c r="B44" s="8" t="e">
        <v>#N/A</v>
      </c>
      <c r="C44" s="8" t="e">
        <v>#N/A</v>
      </c>
      <c r="D44" s="8" t="e">
        <v>#N/A</v>
      </c>
      <c r="E44" s="8" t="e">
        <v>#N/A</v>
      </c>
      <c r="F44" s="9" t="e">
        <v>#N/A</v>
      </c>
      <c r="G44" s="9" t="e">
        <v>#N/A</v>
      </c>
      <c r="H44" s="10" t="e">
        <v>#N/A</v>
      </c>
      <c r="I44" s="10" t="e">
        <f>VLOOKUP(Tabla1[[#This Row],[Matricula nueva]],'[1]ALTA 20242025'!$B$1:$P$241,15,FALSE)</f>
        <v>#N/A</v>
      </c>
      <c r="J44" s="11" t="e">
        <v>#N/A</v>
      </c>
    </row>
    <row r="45" spans="1:11" ht="13.5" thickBot="1">
      <c r="A45" s="8" t="e">
        <v>#N/A</v>
      </c>
      <c r="B45" s="8" t="e">
        <v>#N/A</v>
      </c>
      <c r="C45" s="8" t="e">
        <v>#N/A</v>
      </c>
      <c r="D45" s="8" t="e">
        <v>#N/A</v>
      </c>
      <c r="E45" s="8" t="e">
        <v>#N/A</v>
      </c>
      <c r="F45" s="9" t="e">
        <v>#N/A</v>
      </c>
      <c r="G45" s="9" t="e">
        <v>#N/A</v>
      </c>
      <c r="H45" s="10" t="e">
        <v>#N/A</v>
      </c>
      <c r="I45" s="10" t="e">
        <f>VLOOKUP(Tabla1[[#This Row],[Matricula nueva]],'[1]ALTA 20242025'!$B$1:$P$241,15,FALSE)</f>
        <v>#N/A</v>
      </c>
      <c r="J45" s="11" t="e">
        <v>#N/A</v>
      </c>
    </row>
    <row r="46" spans="1:11" ht="13.5" thickBot="1">
      <c r="A46" s="8" t="e">
        <v>#N/A</v>
      </c>
      <c r="B46" s="8" t="e">
        <v>#N/A</v>
      </c>
      <c r="C46" s="8" t="e">
        <v>#N/A</v>
      </c>
      <c r="D46" s="8" t="e">
        <v>#N/A</v>
      </c>
      <c r="E46" s="8" t="e">
        <v>#N/A</v>
      </c>
      <c r="F46" s="9" t="e">
        <v>#N/A</v>
      </c>
      <c r="G46" s="9" t="e">
        <v>#N/A</v>
      </c>
      <c r="H46" s="10" t="e">
        <v>#N/A</v>
      </c>
      <c r="I46" s="10" t="e">
        <f>VLOOKUP(Tabla1[[#This Row],[Matricula nueva]],'[1]ALTA 20242025'!$B$1:$P$241,15,FALSE)</f>
        <v>#N/A</v>
      </c>
      <c r="J46" s="11" t="e">
        <v>#N/A</v>
      </c>
    </row>
    <row r="47" spans="1:11" ht="13.5" thickBot="1">
      <c r="A47" s="8" t="e">
        <v>#N/A</v>
      </c>
      <c r="B47" s="8" t="e">
        <v>#N/A</v>
      </c>
      <c r="C47" s="8" t="e">
        <v>#N/A</v>
      </c>
      <c r="D47" s="8" t="e">
        <v>#N/A</v>
      </c>
      <c r="E47" s="8" t="e">
        <v>#N/A</v>
      </c>
      <c r="F47" s="9" t="e">
        <v>#N/A</v>
      </c>
      <c r="G47" s="9" t="e">
        <v>#N/A</v>
      </c>
      <c r="H47" s="10" t="e">
        <v>#N/A</v>
      </c>
      <c r="I47" s="10" t="e">
        <f>VLOOKUP(Tabla1[[#This Row],[Matricula nueva]],'[1]ALTA 20242025'!$B$1:$P$241,15,FALSE)</f>
        <v>#N/A</v>
      </c>
      <c r="J47" s="11" t="e">
        <v>#N/A</v>
      </c>
    </row>
    <row r="48" spans="1:11" ht="13.5" thickBot="1">
      <c r="A48" s="8" t="e">
        <v>#N/A</v>
      </c>
      <c r="B48" s="8" t="e">
        <v>#N/A</v>
      </c>
      <c r="C48" s="8" t="e">
        <v>#N/A</v>
      </c>
      <c r="D48" s="8" t="e">
        <v>#N/A</v>
      </c>
      <c r="E48" s="8" t="e">
        <v>#N/A</v>
      </c>
      <c r="F48" s="9" t="e">
        <v>#N/A</v>
      </c>
      <c r="G48" s="9" t="e">
        <v>#N/A</v>
      </c>
      <c r="H48" s="10" t="e">
        <v>#N/A</v>
      </c>
      <c r="I48" s="10" t="e">
        <f>VLOOKUP(Tabla1[[#This Row],[Matricula nueva]],'[1]ALTA 20242025'!$B$1:$P$241,15,FALSE)</f>
        <v>#N/A</v>
      </c>
      <c r="J48" s="11" t="e">
        <v>#N/A</v>
      </c>
    </row>
    <row r="49" spans="1:11" ht="13.5" thickBot="1">
      <c r="A49" s="8" t="e">
        <v>#N/A</v>
      </c>
      <c r="B49" s="8" t="e">
        <v>#N/A</v>
      </c>
      <c r="C49" s="8" t="e">
        <v>#N/A</v>
      </c>
      <c r="D49" s="8" t="e">
        <v>#N/A</v>
      </c>
      <c r="E49" s="8" t="e">
        <v>#N/A</v>
      </c>
      <c r="F49" s="13" t="e">
        <v>#N/A</v>
      </c>
      <c r="G49" s="9" t="e">
        <v>#N/A</v>
      </c>
      <c r="H49" s="10" t="e">
        <v>#N/A</v>
      </c>
      <c r="I49" s="10" t="e">
        <f>VLOOKUP(Tabla1[[#This Row],[Matricula nueva]],'[1]ALTA 20242025'!$B$1:$P$241,15,FALSE)</f>
        <v>#N/A</v>
      </c>
      <c r="J49" s="11" t="e">
        <v>#N/A</v>
      </c>
    </row>
    <row r="50" spans="1:11">
      <c r="A50" s="8" t="s">
        <v>82</v>
      </c>
      <c r="B50" s="8" t="s">
        <v>62</v>
      </c>
      <c r="C50" s="8" t="s">
        <v>63</v>
      </c>
      <c r="D50" s="8" t="s">
        <v>15</v>
      </c>
      <c r="E50" s="15" t="s">
        <v>83</v>
      </c>
      <c r="F50" s="19" t="s">
        <v>17</v>
      </c>
      <c r="G50" s="16">
        <v>45625</v>
      </c>
      <c r="H50" s="10" t="s">
        <v>46</v>
      </c>
      <c r="I50" s="37" t="str">
        <f>VLOOKUP(Tabla1[[#This Row],[Matricula nueva]],'[1]ALTA 20242025'!$B$1:$P$241,15,FALSE)</f>
        <v>4500424791</v>
      </c>
      <c r="J50" s="17" t="s">
        <v>47</v>
      </c>
      <c r="K50" s="1" t="s">
        <v>48</v>
      </c>
    </row>
    <row r="51" spans="1:11">
      <c r="A51" s="8" t="s">
        <v>84</v>
      </c>
      <c r="B51" s="8" t="s">
        <v>62</v>
      </c>
      <c r="C51" s="8" t="s">
        <v>63</v>
      </c>
      <c r="D51" s="8" t="s">
        <v>15</v>
      </c>
      <c r="E51" s="15" t="s">
        <v>85</v>
      </c>
      <c r="F51" s="14" t="s">
        <v>17</v>
      </c>
      <c r="G51" s="16">
        <v>45625</v>
      </c>
      <c r="H51" s="10" t="s">
        <v>46</v>
      </c>
      <c r="I51" s="37" t="str">
        <f>VLOOKUP(Tabla1[[#This Row],[Matricula nueva]],'[1]ALTA 20242025'!$B$1:$P$241,15,FALSE)</f>
        <v>4500424792</v>
      </c>
      <c r="J51" s="17" t="s">
        <v>47</v>
      </c>
      <c r="K51" s="1" t="s">
        <v>48</v>
      </c>
    </row>
    <row r="52" spans="1:11">
      <c r="A52" s="8" t="s">
        <v>86</v>
      </c>
      <c r="B52" s="8" t="s">
        <v>62</v>
      </c>
      <c r="C52" s="8" t="s">
        <v>63</v>
      </c>
      <c r="D52" s="8" t="s">
        <v>15</v>
      </c>
      <c r="E52" s="15" t="s">
        <v>87</v>
      </c>
      <c r="F52" s="14" t="s">
        <v>17</v>
      </c>
      <c r="G52" s="16">
        <v>45625</v>
      </c>
      <c r="H52" s="10" t="s">
        <v>18</v>
      </c>
      <c r="I52" s="37" t="str">
        <f>VLOOKUP(Tabla1[[#This Row],[Matricula nueva]],'[1]ALTA 20242025'!$B$1:$P$241,15,FALSE)</f>
        <v>4500424794</v>
      </c>
      <c r="J52" s="17" t="s">
        <v>19</v>
      </c>
      <c r="K52" s="1" t="s">
        <v>20</v>
      </c>
    </row>
    <row r="53" spans="1:11" ht="13.5" thickBot="1">
      <c r="A53" s="8" t="s">
        <v>88</v>
      </c>
      <c r="B53" s="8" t="s">
        <v>62</v>
      </c>
      <c r="C53" s="8" t="s">
        <v>63</v>
      </c>
      <c r="D53" s="8" t="s">
        <v>15</v>
      </c>
      <c r="E53" s="15" t="s">
        <v>89</v>
      </c>
      <c r="F53" s="18" t="s">
        <v>17</v>
      </c>
      <c r="G53" s="16">
        <v>45638</v>
      </c>
      <c r="H53" s="10" t="s">
        <v>65</v>
      </c>
      <c r="I53" s="37" t="str">
        <f>VLOOKUP(Tabla1[[#This Row],[Matricula nueva]],'[1]ALTA 20242025'!$B$1:$P$241,15,FALSE)</f>
        <v>4500424898</v>
      </c>
      <c r="J53" s="17" t="s">
        <v>66</v>
      </c>
      <c r="K53" s="1" t="s">
        <v>67</v>
      </c>
    </row>
    <row r="54" spans="1:11" ht="13.5" thickBot="1">
      <c r="A54" s="8" t="e">
        <v>#N/A</v>
      </c>
      <c r="B54" s="8" t="e">
        <v>#N/A</v>
      </c>
      <c r="C54" s="8" t="e">
        <v>#N/A</v>
      </c>
      <c r="D54" s="8" t="e">
        <v>#N/A</v>
      </c>
      <c r="E54" s="8" t="e">
        <v>#N/A</v>
      </c>
      <c r="F54" s="12" t="e">
        <v>#N/A</v>
      </c>
      <c r="G54" s="9" t="e">
        <v>#N/A</v>
      </c>
      <c r="H54" s="10" t="e">
        <v>#N/A</v>
      </c>
      <c r="I54" s="10" t="e">
        <f>VLOOKUP(Tabla1[[#This Row],[Matricula nueva]],'[1]ALTA 20242025'!$B$1:$P$241,15,FALSE)</f>
        <v>#N/A</v>
      </c>
      <c r="J54" s="11" t="e">
        <v>#N/A</v>
      </c>
    </row>
    <row r="55" spans="1:11" ht="13.5" thickBot="1">
      <c r="A55" s="8" t="e">
        <v>#N/A</v>
      </c>
      <c r="B55" s="8" t="e">
        <v>#N/A</v>
      </c>
      <c r="C55" s="8" t="e">
        <v>#N/A</v>
      </c>
      <c r="D55" s="8" t="e">
        <v>#N/A</v>
      </c>
      <c r="E55" s="8" t="e">
        <v>#N/A</v>
      </c>
      <c r="F55" s="13" t="e">
        <v>#N/A</v>
      </c>
      <c r="G55" s="9" t="e">
        <v>#N/A</v>
      </c>
      <c r="H55" s="10" t="e">
        <v>#N/A</v>
      </c>
      <c r="I55" s="10" t="e">
        <f>VLOOKUP(Tabla1[[#This Row],[Matricula nueva]],'[1]ALTA 20242025'!$B$1:$P$241,15,FALSE)</f>
        <v>#N/A</v>
      </c>
      <c r="J55" s="11" t="e">
        <v>#N/A</v>
      </c>
    </row>
    <row r="56" spans="1:11">
      <c r="A56" s="8" t="s">
        <v>90</v>
      </c>
      <c r="B56" s="8" t="s">
        <v>62</v>
      </c>
      <c r="C56" s="8" t="s">
        <v>63</v>
      </c>
      <c r="D56" s="8" t="s">
        <v>15</v>
      </c>
      <c r="E56" s="15" t="s">
        <v>16</v>
      </c>
      <c r="F56" s="19" t="s">
        <v>17</v>
      </c>
      <c r="G56" s="16">
        <v>45625</v>
      </c>
      <c r="H56" s="10" t="s">
        <v>18</v>
      </c>
      <c r="I56" s="37" t="str">
        <f>VLOOKUP(Tabla1[[#This Row],[Matricula nueva]],'[1]ALTA 20242025'!$B$1:$P$241,15,FALSE)</f>
        <v>4500424809</v>
      </c>
      <c r="J56" s="17" t="s">
        <v>19</v>
      </c>
      <c r="K56" s="1" t="s">
        <v>20</v>
      </c>
    </row>
    <row r="57" spans="1:11" ht="13.5" thickBot="1">
      <c r="A57" s="8" t="s">
        <v>91</v>
      </c>
      <c r="B57" s="8" t="s">
        <v>62</v>
      </c>
      <c r="C57" s="8" t="s">
        <v>63</v>
      </c>
      <c r="D57" s="8" t="s">
        <v>15</v>
      </c>
      <c r="E57" s="15" t="s">
        <v>92</v>
      </c>
      <c r="F57" s="18" t="s">
        <v>17</v>
      </c>
      <c r="G57" s="16">
        <v>45638</v>
      </c>
      <c r="H57" s="10" t="s">
        <v>65</v>
      </c>
      <c r="I57" s="37" t="str">
        <f>VLOOKUP(Tabla1[[#This Row],[Matricula nueva]],'[1]ALTA 20242025'!$B$1:$P$241,15,FALSE)</f>
        <v>4500424889</v>
      </c>
      <c r="J57" s="17" t="s">
        <v>66</v>
      </c>
      <c r="K57" s="1" t="s">
        <v>67</v>
      </c>
    </row>
    <row r="58" spans="1:11" ht="13.5" thickBot="1">
      <c r="A58" s="8" t="e">
        <v>#N/A</v>
      </c>
      <c r="B58" s="8" t="e">
        <v>#N/A</v>
      </c>
      <c r="C58" s="8" t="e">
        <v>#N/A</v>
      </c>
      <c r="D58" s="8" t="e">
        <v>#N/A</v>
      </c>
      <c r="E58" s="8" t="e">
        <v>#N/A</v>
      </c>
      <c r="F58" s="12" t="e">
        <v>#N/A</v>
      </c>
      <c r="G58" s="9" t="e">
        <v>#N/A</v>
      </c>
      <c r="H58" s="10" t="e">
        <v>#N/A</v>
      </c>
      <c r="I58" s="10" t="e">
        <f>VLOOKUP(Tabla1[[#This Row],[Matricula nueva]],'[1]ALTA 20242025'!$B$1:$P$241,15,FALSE)</f>
        <v>#N/A</v>
      </c>
      <c r="J58" s="11" t="e">
        <v>#N/A</v>
      </c>
    </row>
    <row r="59" spans="1:11" ht="13.5" thickBot="1">
      <c r="A59" s="8" t="e">
        <v>#N/A</v>
      </c>
      <c r="B59" s="8" t="e">
        <v>#N/A</v>
      </c>
      <c r="C59" s="8" t="e">
        <v>#N/A</v>
      </c>
      <c r="D59" s="8" t="e">
        <v>#N/A</v>
      </c>
      <c r="E59" s="8" t="e">
        <v>#N/A</v>
      </c>
      <c r="F59" s="13" t="e">
        <v>#N/A</v>
      </c>
      <c r="G59" s="9" t="e">
        <v>#N/A</v>
      </c>
      <c r="H59" s="10" t="e">
        <v>#N/A</v>
      </c>
      <c r="I59" s="10" t="e">
        <f>VLOOKUP(Tabla1[[#This Row],[Matricula nueva]],'[1]ALTA 20242025'!$B$1:$P$241,15,FALSE)</f>
        <v>#N/A</v>
      </c>
      <c r="J59" s="11" t="e">
        <v>#N/A</v>
      </c>
    </row>
    <row r="60" spans="1:11">
      <c r="A60" s="8" t="s">
        <v>93</v>
      </c>
      <c r="B60" s="8" t="s">
        <v>62</v>
      </c>
      <c r="C60" s="8" t="s">
        <v>63</v>
      </c>
      <c r="D60" s="8" t="s">
        <v>15</v>
      </c>
      <c r="E60" s="15" t="s">
        <v>94</v>
      </c>
      <c r="F60" s="19" t="s">
        <v>17</v>
      </c>
      <c r="G60" s="16">
        <v>45625</v>
      </c>
      <c r="H60" s="10" t="s">
        <v>46</v>
      </c>
      <c r="I60" s="37" t="str">
        <f>VLOOKUP(Tabla1[[#This Row],[Matricula nueva]],'[1]ALTA 20242025'!$B$1:$P$241,15,FALSE)</f>
        <v>4500426700</v>
      </c>
      <c r="J60" s="17" t="s">
        <v>47</v>
      </c>
      <c r="K60" s="1" t="s">
        <v>48</v>
      </c>
    </row>
    <row r="61" spans="1:11">
      <c r="A61" s="8" t="s">
        <v>95</v>
      </c>
      <c r="B61" s="8" t="s">
        <v>13</v>
      </c>
      <c r="C61" s="8" t="s">
        <v>14</v>
      </c>
      <c r="D61" s="8" t="s">
        <v>15</v>
      </c>
      <c r="E61" s="15" t="s">
        <v>96</v>
      </c>
      <c r="F61" s="14" t="s">
        <v>17</v>
      </c>
      <c r="G61" s="16">
        <v>45625</v>
      </c>
      <c r="H61" s="10" t="s">
        <v>39</v>
      </c>
      <c r="I61" s="37" t="str">
        <f>VLOOKUP(Tabla1[[#This Row],[Matricula nueva]],'[1]ALTA 20242025'!$B$1:$P$241,15,FALSE)</f>
        <v>4500426774</v>
      </c>
      <c r="J61" s="17" t="s">
        <v>40</v>
      </c>
      <c r="K61" s="1" t="s">
        <v>41</v>
      </c>
    </row>
    <row r="62" spans="1:11">
      <c r="A62" s="8" t="s">
        <v>97</v>
      </c>
      <c r="B62" s="8" t="s">
        <v>13</v>
      </c>
      <c r="C62" s="8" t="s">
        <v>14</v>
      </c>
      <c r="D62" s="8" t="s">
        <v>15</v>
      </c>
      <c r="E62" s="15" t="s">
        <v>98</v>
      </c>
      <c r="F62" s="14" t="s">
        <v>17</v>
      </c>
      <c r="G62" s="16">
        <v>45649</v>
      </c>
      <c r="H62" s="10" t="s">
        <v>99</v>
      </c>
      <c r="I62" s="37" t="str">
        <f>VLOOKUP(Tabla1[[#This Row],[Matricula nueva]],'[1]ALTA 20242025'!$B$1:$P$241,15,FALSE)</f>
        <v>X</v>
      </c>
      <c r="J62" s="17" t="s">
        <v>100</v>
      </c>
    </row>
    <row r="63" spans="1:11">
      <c r="A63" s="8" t="s">
        <v>101</v>
      </c>
      <c r="B63" s="8" t="s">
        <v>13</v>
      </c>
      <c r="C63" s="8" t="s">
        <v>14</v>
      </c>
      <c r="D63" s="8" t="s">
        <v>15</v>
      </c>
      <c r="E63" s="15" t="s">
        <v>102</v>
      </c>
      <c r="F63" s="14" t="s">
        <v>17</v>
      </c>
      <c r="G63" s="16">
        <v>45625</v>
      </c>
      <c r="H63" s="10" t="s">
        <v>103</v>
      </c>
      <c r="I63" s="37" t="str">
        <f>VLOOKUP(Tabla1[[#This Row],[Matricula nueva]],'[1]ALTA 20242025'!$B$1:$P$241,15,FALSE)</f>
        <v>4500426798</v>
      </c>
      <c r="J63" s="17" t="s">
        <v>104</v>
      </c>
      <c r="K63" s="1" t="s">
        <v>105</v>
      </c>
    </row>
    <row r="64" spans="1:11">
      <c r="A64" s="8" t="s">
        <v>106</v>
      </c>
      <c r="B64" s="8" t="s">
        <v>13</v>
      </c>
      <c r="C64" s="8" t="s">
        <v>14</v>
      </c>
      <c r="D64" s="8" t="s">
        <v>15</v>
      </c>
      <c r="E64" s="15" t="s">
        <v>107</v>
      </c>
      <c r="F64" s="14" t="s">
        <v>17</v>
      </c>
      <c r="G64" s="16">
        <v>45645</v>
      </c>
      <c r="H64" s="10" t="s">
        <v>46</v>
      </c>
      <c r="I64" s="37" t="str">
        <f>VLOOKUP(Tabla1[[#This Row],[Matricula nueva]],'[1]ALTA 20242025'!$B$1:$P$241,15,FALSE)</f>
        <v>4500426771</v>
      </c>
      <c r="J64" s="17" t="s">
        <v>47</v>
      </c>
      <c r="K64" s="1" t="s">
        <v>48</v>
      </c>
    </row>
    <row r="65" spans="1:11">
      <c r="A65" s="8" t="s">
        <v>108</v>
      </c>
      <c r="B65" s="8" t="s">
        <v>13</v>
      </c>
      <c r="C65" s="8" t="s">
        <v>14</v>
      </c>
      <c r="D65" s="8" t="s">
        <v>15</v>
      </c>
      <c r="E65" s="15" t="s">
        <v>109</v>
      </c>
      <c r="F65" s="14" t="s">
        <v>17</v>
      </c>
      <c r="G65" s="16">
        <v>45646</v>
      </c>
      <c r="H65" s="10" t="s">
        <v>58</v>
      </c>
      <c r="I65" s="37" t="str">
        <f>VLOOKUP(Tabla1[[#This Row],[Matricula nueva]],'[1]ALTA 20242025'!$B$1:$P$241,15,FALSE)</f>
        <v>4500426874</v>
      </c>
      <c r="J65" s="17" t="s">
        <v>59</v>
      </c>
      <c r="K65" s="1" t="s">
        <v>60</v>
      </c>
    </row>
    <row r="66" spans="1:11">
      <c r="A66" s="8" t="s">
        <v>110</v>
      </c>
      <c r="B66" s="8" t="s">
        <v>13</v>
      </c>
      <c r="C66" s="8" t="s">
        <v>34</v>
      </c>
      <c r="D66" s="8" t="s">
        <v>15</v>
      </c>
      <c r="E66" s="15" t="s">
        <v>111</v>
      </c>
      <c r="F66" s="14" t="s">
        <v>17</v>
      </c>
      <c r="G66" s="16">
        <v>43435</v>
      </c>
      <c r="H66" s="10" t="s">
        <v>26</v>
      </c>
      <c r="I66" s="38">
        <v>4500399254</v>
      </c>
      <c r="J66" s="17" t="s">
        <v>27</v>
      </c>
      <c r="K66" s="1" t="s">
        <v>28</v>
      </c>
    </row>
    <row r="67" spans="1:11" ht="13.5" thickBot="1">
      <c r="A67" s="8" t="s">
        <v>112</v>
      </c>
      <c r="B67" s="8" t="s">
        <v>13</v>
      </c>
      <c r="C67" s="8" t="s">
        <v>34</v>
      </c>
      <c r="D67" s="8" t="s">
        <v>15</v>
      </c>
      <c r="E67" s="15" t="s">
        <v>113</v>
      </c>
      <c r="F67" s="18" t="s">
        <v>17</v>
      </c>
      <c r="G67" s="16">
        <v>43140</v>
      </c>
      <c r="H67" s="10" t="s">
        <v>58</v>
      </c>
      <c r="I67" s="37" t="str">
        <f>VLOOKUP(Tabla1[[#This Row],[Matricula nueva]],'[1]ALTA 20242025'!$B$1:$P$241,15,FALSE)</f>
        <v>4500409585</v>
      </c>
      <c r="J67" s="17" t="s">
        <v>59</v>
      </c>
      <c r="K67" s="1" t="s">
        <v>60</v>
      </c>
    </row>
    <row r="68" spans="1:11" ht="13.5" thickBot="1">
      <c r="A68" s="8" t="e">
        <v>#N/A</v>
      </c>
      <c r="B68" s="8" t="e">
        <v>#N/A</v>
      </c>
      <c r="C68" s="8" t="e">
        <v>#N/A</v>
      </c>
      <c r="D68" s="8" t="e">
        <v>#N/A</v>
      </c>
      <c r="E68" s="8" t="e">
        <v>#N/A</v>
      </c>
      <c r="F68" s="12" t="e">
        <v>#N/A</v>
      </c>
      <c r="G68" s="9" t="e">
        <v>#N/A</v>
      </c>
      <c r="H68" s="10" t="e">
        <v>#N/A</v>
      </c>
      <c r="I68" s="10" t="e">
        <f>VLOOKUP(Tabla1[[#This Row],[Matricula nueva]],'[1]ALTA 20242025'!$B$1:$P$241,15,FALSE)</f>
        <v>#N/A</v>
      </c>
      <c r="J68" s="11" t="e">
        <v>#N/A</v>
      </c>
    </row>
    <row r="69" spans="1:11" ht="13.5" thickBot="1">
      <c r="A69" s="8" t="e">
        <v>#N/A</v>
      </c>
      <c r="B69" s="8" t="e">
        <v>#N/A</v>
      </c>
      <c r="C69" s="8" t="e">
        <v>#N/A</v>
      </c>
      <c r="D69" s="8" t="e">
        <v>#N/A</v>
      </c>
      <c r="E69" s="8" t="e">
        <v>#N/A</v>
      </c>
      <c r="F69" s="13" t="e">
        <v>#N/A</v>
      </c>
      <c r="G69" s="9" t="e">
        <v>#N/A</v>
      </c>
      <c r="H69" s="10" t="e">
        <v>#N/A</v>
      </c>
      <c r="I69" s="10" t="e">
        <f>VLOOKUP(Tabla1[[#This Row],[Matricula nueva]],'[1]ALTA 20242025'!$B$1:$P$241,15,FALSE)</f>
        <v>#N/A</v>
      </c>
      <c r="J69" s="11" t="e">
        <v>#N/A</v>
      </c>
    </row>
    <row r="70" spans="1:11">
      <c r="A70" s="8" t="s">
        <v>114</v>
      </c>
      <c r="B70" s="8" t="s">
        <v>115</v>
      </c>
      <c r="C70" s="8" t="s">
        <v>116</v>
      </c>
      <c r="D70" s="8" t="s">
        <v>15</v>
      </c>
      <c r="E70" s="15" t="s">
        <v>117</v>
      </c>
      <c r="F70" s="19" t="s">
        <v>17</v>
      </c>
      <c r="G70" s="16">
        <v>45391</v>
      </c>
      <c r="H70" s="10" t="s">
        <v>26</v>
      </c>
      <c r="I70" s="38">
        <v>4500398936</v>
      </c>
      <c r="J70" s="17" t="s">
        <v>27</v>
      </c>
      <c r="K70" s="1" t="s">
        <v>28</v>
      </c>
    </row>
    <row r="71" spans="1:11">
      <c r="A71" s="8" t="s">
        <v>118</v>
      </c>
      <c r="B71" s="8" t="s">
        <v>62</v>
      </c>
      <c r="C71" s="8" t="s">
        <v>63</v>
      </c>
      <c r="D71" s="8" t="s">
        <v>15</v>
      </c>
      <c r="E71" s="15" t="s">
        <v>119</v>
      </c>
      <c r="F71" s="14" t="s">
        <v>17</v>
      </c>
      <c r="G71" s="16">
        <v>45625</v>
      </c>
      <c r="H71" s="10" t="s">
        <v>103</v>
      </c>
      <c r="I71" s="37" t="str">
        <f>VLOOKUP(Tabla1[[#This Row],[Matricula nueva]],'[1]ALTA 20242025'!$B$1:$P$241,15,FALSE)</f>
        <v>4500426701</v>
      </c>
      <c r="J71" s="17" t="s">
        <v>104</v>
      </c>
      <c r="K71" s="1" t="s">
        <v>105</v>
      </c>
    </row>
    <row r="72" spans="1:11">
      <c r="A72" s="8" t="s">
        <v>120</v>
      </c>
      <c r="B72" s="8" t="s">
        <v>62</v>
      </c>
      <c r="C72" s="8" t="s">
        <v>63</v>
      </c>
      <c r="D72" s="8" t="s">
        <v>15</v>
      </c>
      <c r="E72" s="15" t="s">
        <v>121</v>
      </c>
      <c r="F72" s="14" t="s">
        <v>17</v>
      </c>
      <c r="G72" s="16">
        <v>45622</v>
      </c>
      <c r="H72" s="10" t="s">
        <v>46</v>
      </c>
      <c r="I72" s="37" t="str">
        <f>VLOOKUP(Tabla1[[#This Row],[Matricula nueva]],'[1]ALTA 20242025'!$B$1:$P$241,15,FALSE)</f>
        <v>4500424789</v>
      </c>
      <c r="J72" s="17" t="s">
        <v>47</v>
      </c>
      <c r="K72" s="1" t="s">
        <v>48</v>
      </c>
    </row>
    <row r="73" spans="1:11">
      <c r="A73" s="8" t="s">
        <v>122</v>
      </c>
      <c r="B73" s="8" t="s">
        <v>62</v>
      </c>
      <c r="C73" s="8" t="s">
        <v>63</v>
      </c>
      <c r="D73" s="8" t="s">
        <v>15</v>
      </c>
      <c r="E73" s="15" t="s">
        <v>123</v>
      </c>
      <c r="F73" s="14" t="s">
        <v>17</v>
      </c>
      <c r="G73" s="16">
        <v>45625</v>
      </c>
      <c r="H73" s="10" t="s">
        <v>26</v>
      </c>
      <c r="I73" s="37" t="str">
        <f>VLOOKUP(Tabla1[[#This Row],[Matricula nueva]],'[1]ALTA 20242025'!$B$1:$P$241,15,FALSE)</f>
        <v>4500424798</v>
      </c>
      <c r="J73" s="17" t="s">
        <v>27</v>
      </c>
      <c r="K73" s="1" t="s">
        <v>28</v>
      </c>
    </row>
    <row r="74" spans="1:11">
      <c r="A74" s="8" t="s">
        <v>124</v>
      </c>
      <c r="B74" s="8" t="s">
        <v>23</v>
      </c>
      <c r="C74" s="8" t="s">
        <v>24</v>
      </c>
      <c r="D74" s="8" t="s">
        <v>15</v>
      </c>
      <c r="E74" s="15" t="s">
        <v>25</v>
      </c>
      <c r="F74" s="14" t="s">
        <v>17</v>
      </c>
      <c r="G74" s="16">
        <v>45483</v>
      </c>
      <c r="H74" s="10" t="s">
        <v>26</v>
      </c>
      <c r="I74" s="38">
        <v>4500407442</v>
      </c>
      <c r="J74" s="17" t="s">
        <v>27</v>
      </c>
      <c r="K74" s="1" t="s">
        <v>28</v>
      </c>
    </row>
    <row r="75" spans="1:11">
      <c r="A75" s="8" t="s">
        <v>125</v>
      </c>
      <c r="B75" s="8" t="s">
        <v>13</v>
      </c>
      <c r="C75" s="8" t="s">
        <v>14</v>
      </c>
      <c r="D75" s="8" t="s">
        <v>15</v>
      </c>
      <c r="E75" s="15" t="s">
        <v>126</v>
      </c>
      <c r="F75" s="14" t="s">
        <v>17</v>
      </c>
      <c r="G75" s="16">
        <v>45645</v>
      </c>
      <c r="H75" s="10" t="s">
        <v>46</v>
      </c>
      <c r="I75" s="37" t="str">
        <f>VLOOKUP(Tabla1[[#This Row],[Matricula nueva]],'[1]ALTA 20242025'!$B$1:$P$241,15,FALSE)</f>
        <v>4500426873</v>
      </c>
      <c r="J75" s="17" t="s">
        <v>47</v>
      </c>
      <c r="K75" s="1" t="s">
        <v>48</v>
      </c>
    </row>
    <row r="76" spans="1:11">
      <c r="A76" s="8" t="s">
        <v>127</v>
      </c>
      <c r="B76" s="8" t="s">
        <v>13</v>
      </c>
      <c r="C76" s="8" t="s">
        <v>14</v>
      </c>
      <c r="D76" s="8" t="s">
        <v>15</v>
      </c>
      <c r="E76" s="15" t="s">
        <v>102</v>
      </c>
      <c r="F76" s="14" t="s">
        <v>17</v>
      </c>
      <c r="G76" s="16">
        <v>45625</v>
      </c>
      <c r="H76" s="10" t="s">
        <v>103</v>
      </c>
      <c r="I76" s="37" t="str">
        <f>VLOOKUP(Tabla1[[#This Row],[Matricula nueva]],'[1]ALTA 20242025'!$B$1:$P$241,15,FALSE)</f>
        <v>4500426766</v>
      </c>
      <c r="J76" s="17" t="s">
        <v>104</v>
      </c>
      <c r="K76" s="1" t="s">
        <v>105</v>
      </c>
    </row>
    <row r="77" spans="1:11">
      <c r="A77" s="8" t="s">
        <v>128</v>
      </c>
      <c r="B77" s="8" t="s">
        <v>13</v>
      </c>
      <c r="C77" s="8" t="s">
        <v>14</v>
      </c>
      <c r="D77" s="8" t="s">
        <v>15</v>
      </c>
      <c r="E77" s="15" t="s">
        <v>107</v>
      </c>
      <c r="F77" s="14" t="s">
        <v>17</v>
      </c>
      <c r="G77" s="16">
        <v>45645</v>
      </c>
      <c r="H77" s="10" t="s">
        <v>46</v>
      </c>
      <c r="I77" s="37" t="str">
        <f>VLOOKUP(Tabla1[[#This Row],[Matricula nueva]],'[1]ALTA 20242025'!$B$1:$P$241,15,FALSE)</f>
        <v>4500426758</v>
      </c>
      <c r="J77" s="17" t="s">
        <v>47</v>
      </c>
      <c r="K77" s="1" t="s">
        <v>48</v>
      </c>
    </row>
    <row r="78" spans="1:11" ht="13.5" thickBot="1">
      <c r="A78" s="8" t="s">
        <v>129</v>
      </c>
      <c r="B78" s="8" t="s">
        <v>13</v>
      </c>
      <c r="C78" s="8" t="s">
        <v>14</v>
      </c>
      <c r="D78" s="8" t="s">
        <v>15</v>
      </c>
      <c r="E78" s="15" t="s">
        <v>130</v>
      </c>
      <c r="F78" s="18" t="s">
        <v>17</v>
      </c>
      <c r="G78" s="16">
        <v>45645</v>
      </c>
      <c r="H78" s="10" t="s">
        <v>131</v>
      </c>
      <c r="I78" s="37" t="str">
        <f>VLOOKUP(Tabla1[[#This Row],[Matricula nueva]],'[1]ALTA 20242025'!$B$1:$P$241,15,FALSE)</f>
        <v>4500426808</v>
      </c>
      <c r="J78" s="17" t="s">
        <v>132</v>
      </c>
      <c r="K78" s="1" t="s">
        <v>133</v>
      </c>
    </row>
    <row r="79" spans="1:11" ht="13.5" thickBot="1">
      <c r="A79" s="8" t="e">
        <v>#N/A</v>
      </c>
      <c r="B79" s="8" t="e">
        <v>#N/A</v>
      </c>
      <c r="C79" s="8" t="e">
        <v>#N/A</v>
      </c>
      <c r="D79" s="8" t="e">
        <v>#N/A</v>
      </c>
      <c r="E79" s="8" t="e">
        <v>#N/A</v>
      </c>
      <c r="F79" s="7" t="e">
        <v>#N/A</v>
      </c>
      <c r="G79" s="9" t="e">
        <v>#N/A</v>
      </c>
      <c r="H79" s="10" t="e">
        <v>#N/A</v>
      </c>
      <c r="I79" s="10" t="e">
        <f>VLOOKUP(Tabla1[[#This Row],[Matricula nueva]],'[1]ALTA 20242025'!$B$1:$P$241,15,FALSE)</f>
        <v>#N/A</v>
      </c>
      <c r="J79" s="11" t="e">
        <v>#N/A</v>
      </c>
    </row>
    <row r="80" spans="1:11">
      <c r="A80" s="8" t="s">
        <v>134</v>
      </c>
      <c r="B80" s="8" t="s">
        <v>13</v>
      </c>
      <c r="C80" s="8" t="s">
        <v>14</v>
      </c>
      <c r="D80" s="8" t="s">
        <v>15</v>
      </c>
      <c r="E80" s="15" t="s">
        <v>135</v>
      </c>
      <c r="F80" s="19" t="s">
        <v>17</v>
      </c>
      <c r="G80" s="16">
        <v>45645</v>
      </c>
      <c r="H80" s="10" t="s">
        <v>46</v>
      </c>
      <c r="I80" s="37" t="str">
        <f>VLOOKUP(Tabla1[[#This Row],[Matricula nueva]],'[1]ALTA 20242025'!$B$1:$P$241,15,FALSE)</f>
        <v>4500426786</v>
      </c>
      <c r="J80" s="17" t="s">
        <v>47</v>
      </c>
      <c r="K80" s="1" t="s">
        <v>48</v>
      </c>
    </row>
    <row r="81" spans="1:11" ht="13.5" thickBot="1">
      <c r="A81" s="8" t="s">
        <v>136</v>
      </c>
      <c r="B81" s="8" t="s">
        <v>62</v>
      </c>
      <c r="C81" s="8" t="s">
        <v>63</v>
      </c>
      <c r="D81" s="8" t="s">
        <v>15</v>
      </c>
      <c r="E81" s="15" t="s">
        <v>137</v>
      </c>
      <c r="F81" s="18" t="s">
        <v>17</v>
      </c>
      <c r="G81" s="16">
        <v>45622</v>
      </c>
      <c r="H81" s="10" t="s">
        <v>103</v>
      </c>
      <c r="I81" s="37" t="str">
        <f>VLOOKUP(Tabla1[[#This Row],[Matricula nueva]],'[1]ALTA 20242025'!$B$1:$P$241,15,FALSE)</f>
        <v>4500424795</v>
      </c>
      <c r="J81" s="17" t="s">
        <v>104</v>
      </c>
      <c r="K81" s="1" t="s">
        <v>105</v>
      </c>
    </row>
    <row r="82" spans="1:11" ht="13.5" thickBot="1">
      <c r="A82" s="8" t="e">
        <v>#N/A</v>
      </c>
      <c r="B82" s="8" t="e">
        <v>#N/A</v>
      </c>
      <c r="C82" s="8" t="e">
        <v>#N/A</v>
      </c>
      <c r="D82" s="8" t="e">
        <v>#N/A</v>
      </c>
      <c r="E82" s="8" t="e">
        <v>#N/A</v>
      </c>
      <c r="F82" s="7" t="e">
        <v>#N/A</v>
      </c>
      <c r="G82" s="9" t="e">
        <v>#N/A</v>
      </c>
      <c r="H82" s="10" t="e">
        <v>#N/A</v>
      </c>
      <c r="I82" s="10" t="e">
        <f>VLOOKUP(Tabla1[[#This Row],[Matricula nueva]],'[1]ALTA 20242025'!$B$1:$P$241,15,FALSE)</f>
        <v>#N/A</v>
      </c>
      <c r="J82" s="11" t="e">
        <v>#N/A</v>
      </c>
    </row>
    <row r="83" spans="1:11" ht="13.5" thickBot="1">
      <c r="A83" s="8" t="s">
        <v>138</v>
      </c>
      <c r="B83" s="8" t="s">
        <v>13</v>
      </c>
      <c r="C83" s="8" t="s">
        <v>14</v>
      </c>
      <c r="D83" s="8" t="s">
        <v>15</v>
      </c>
      <c r="E83" s="15" t="s">
        <v>119</v>
      </c>
      <c r="F83" s="20" t="s">
        <v>17</v>
      </c>
      <c r="G83" s="16">
        <v>45625</v>
      </c>
      <c r="H83" s="10" t="s">
        <v>103</v>
      </c>
      <c r="I83" s="37" t="str">
        <f>VLOOKUP(Tabla1[[#This Row],[Matricula nueva]],'[1]ALTA 20242025'!$B$1:$P$241,15,FALSE)</f>
        <v>4500426872</v>
      </c>
      <c r="J83" s="17" t="s">
        <v>104</v>
      </c>
      <c r="K83" s="1" t="s">
        <v>105</v>
      </c>
    </row>
    <row r="84" spans="1:11" ht="13.5" thickBot="1">
      <c r="A84" s="8" t="e">
        <v>#N/A</v>
      </c>
      <c r="B84" s="8" t="e">
        <v>#N/A</v>
      </c>
      <c r="C84" s="8" t="e">
        <v>#N/A</v>
      </c>
      <c r="D84" s="8" t="e">
        <v>#N/A</v>
      </c>
      <c r="E84" s="8" t="e">
        <v>#N/A</v>
      </c>
      <c r="F84" s="12" t="e">
        <v>#N/A</v>
      </c>
      <c r="G84" s="9" t="e">
        <v>#N/A</v>
      </c>
      <c r="H84" s="10" t="e">
        <v>#N/A</v>
      </c>
      <c r="I84" s="10" t="e">
        <f>VLOOKUP(Tabla1[[#This Row],[Matricula nueva]],'[1]ALTA 20242025'!$B$1:$P$241,15,FALSE)</f>
        <v>#N/A</v>
      </c>
      <c r="J84" s="11" t="e">
        <v>#N/A</v>
      </c>
    </row>
    <row r="85" spans="1:11" ht="13.5" thickBot="1">
      <c r="A85" s="8" t="e">
        <v>#N/A</v>
      </c>
      <c r="B85" s="8" t="e">
        <v>#N/A</v>
      </c>
      <c r="C85" s="8" t="e">
        <v>#N/A</v>
      </c>
      <c r="D85" s="8" t="e">
        <v>#N/A</v>
      </c>
      <c r="E85" s="8" t="e">
        <v>#N/A</v>
      </c>
      <c r="F85" s="13" t="e">
        <v>#N/A</v>
      </c>
      <c r="G85" s="9" t="e">
        <v>#N/A</v>
      </c>
      <c r="H85" s="10" t="e">
        <v>#N/A</v>
      </c>
      <c r="I85" s="10" t="e">
        <f>VLOOKUP(Tabla1[[#This Row],[Matricula nueva]],'[1]ALTA 20242025'!$B$1:$P$241,15,FALSE)</f>
        <v>#N/A</v>
      </c>
      <c r="J85" s="11" t="e">
        <v>#N/A</v>
      </c>
    </row>
    <row r="86" spans="1:11">
      <c r="A86" s="8" t="s">
        <v>139</v>
      </c>
      <c r="B86" s="8" t="s">
        <v>13</v>
      </c>
      <c r="C86" s="8" t="s">
        <v>14</v>
      </c>
      <c r="D86" s="8" t="s">
        <v>15</v>
      </c>
      <c r="E86" s="15" t="s">
        <v>50</v>
      </c>
      <c r="F86" s="19" t="s">
        <v>17</v>
      </c>
      <c r="G86" s="16">
        <v>45625</v>
      </c>
      <c r="H86" s="10" t="s">
        <v>18</v>
      </c>
      <c r="I86" s="37" t="str">
        <f>VLOOKUP(Tabla1[[#This Row],[Matricula nueva]],'[1]ALTA 20242025'!$B$1:$P$241,15,FALSE)</f>
        <v>4500426841</v>
      </c>
      <c r="J86" s="17" t="s">
        <v>19</v>
      </c>
      <c r="K86" s="1" t="s">
        <v>20</v>
      </c>
    </row>
    <row r="87" spans="1:11">
      <c r="A87" s="8" t="s">
        <v>140</v>
      </c>
      <c r="B87" s="8" t="s">
        <v>62</v>
      </c>
      <c r="C87" s="8" t="s">
        <v>63</v>
      </c>
      <c r="D87" s="8" t="s">
        <v>15</v>
      </c>
      <c r="E87" s="15" t="s">
        <v>126</v>
      </c>
      <c r="F87" s="14" t="s">
        <v>17</v>
      </c>
      <c r="G87" s="16">
        <v>45622</v>
      </c>
      <c r="H87" s="10" t="s">
        <v>46</v>
      </c>
      <c r="I87" s="37" t="str">
        <f>VLOOKUP(Tabla1[[#This Row],[Matricula nueva]],'[1]ALTA 20242025'!$B$1:$P$241,15,FALSE)</f>
        <v>4500424209</v>
      </c>
      <c r="J87" s="17" t="s">
        <v>47</v>
      </c>
      <c r="K87" s="1" t="s">
        <v>48</v>
      </c>
    </row>
    <row r="88" spans="1:11">
      <c r="A88" s="8" t="s">
        <v>141</v>
      </c>
      <c r="B88" s="8" t="s">
        <v>62</v>
      </c>
      <c r="C88" s="8" t="s">
        <v>63</v>
      </c>
      <c r="D88" s="8" t="s">
        <v>15</v>
      </c>
      <c r="E88" s="15" t="s">
        <v>142</v>
      </c>
      <c r="F88" s="14" t="s">
        <v>17</v>
      </c>
      <c r="G88" s="16">
        <v>45625</v>
      </c>
      <c r="H88" s="10" t="s">
        <v>103</v>
      </c>
      <c r="I88" s="37" t="str">
        <f>VLOOKUP(Tabla1[[#This Row],[Matricula nueva]],'[1]ALTA 20242025'!$B$1:$P$241,15,FALSE)</f>
        <v>4500426703</v>
      </c>
      <c r="J88" s="17" t="s">
        <v>104</v>
      </c>
      <c r="K88" s="1" t="s">
        <v>105</v>
      </c>
    </row>
    <row r="89" spans="1:11">
      <c r="A89" s="8" t="s">
        <v>143</v>
      </c>
      <c r="B89" s="8" t="s">
        <v>13</v>
      </c>
      <c r="C89" s="8" t="s">
        <v>14</v>
      </c>
      <c r="D89" s="8" t="s">
        <v>15</v>
      </c>
      <c r="E89" s="15" t="s">
        <v>144</v>
      </c>
      <c r="F89" s="14" t="s">
        <v>17</v>
      </c>
      <c r="G89" s="16">
        <v>45625</v>
      </c>
      <c r="H89" s="10" t="s">
        <v>103</v>
      </c>
      <c r="I89" s="37" t="str">
        <f>VLOOKUP(Tabla1[[#This Row],[Matricula nueva]],'[1]ALTA 20242025'!$B$1:$P$241,15,FALSE)</f>
        <v>4500426785</v>
      </c>
      <c r="J89" s="17" t="s">
        <v>104</v>
      </c>
      <c r="K89" s="1" t="s">
        <v>105</v>
      </c>
    </row>
    <row r="90" spans="1:11" ht="13.5" thickBot="1">
      <c r="A90" s="8" t="s">
        <v>145</v>
      </c>
      <c r="B90" s="8" t="s">
        <v>13</v>
      </c>
      <c r="C90" s="8" t="s">
        <v>14</v>
      </c>
      <c r="D90" s="8" t="s">
        <v>15</v>
      </c>
      <c r="E90" s="15" t="s">
        <v>146</v>
      </c>
      <c r="F90" s="18" t="s">
        <v>17</v>
      </c>
      <c r="G90" s="16">
        <v>45625</v>
      </c>
      <c r="H90" s="10" t="s">
        <v>103</v>
      </c>
      <c r="I90" s="37" t="str">
        <f>VLOOKUP(Tabla1[[#This Row],[Matricula nueva]],'[1]ALTA 20242025'!$B$1:$P$241,15,FALSE)</f>
        <v>4500426851</v>
      </c>
      <c r="J90" s="17" t="s">
        <v>104</v>
      </c>
      <c r="K90" s="1" t="s">
        <v>105</v>
      </c>
    </row>
    <row r="91" spans="1:11" ht="13.5" thickBot="1">
      <c r="A91" s="8" t="e">
        <v>#N/A</v>
      </c>
      <c r="B91" s="8" t="e">
        <v>#N/A</v>
      </c>
      <c r="C91" s="8" t="e">
        <v>#N/A</v>
      </c>
      <c r="D91" s="8" t="e">
        <v>#N/A</v>
      </c>
      <c r="E91" s="8" t="e">
        <v>#N/A</v>
      </c>
      <c r="F91" s="7" t="e">
        <v>#N/A</v>
      </c>
      <c r="G91" s="9" t="e">
        <v>#N/A</v>
      </c>
      <c r="H91" s="10" t="e">
        <v>#N/A</v>
      </c>
      <c r="I91" s="10" t="e">
        <f>VLOOKUP(Tabla1[[#This Row],[Matricula nueva]],'[1]ALTA 20242025'!$B$1:$P$241,15,FALSE)</f>
        <v>#N/A</v>
      </c>
      <c r="J91" s="11" t="e">
        <v>#N/A</v>
      </c>
    </row>
    <row r="92" spans="1:11">
      <c r="A92" s="8" t="s">
        <v>147</v>
      </c>
      <c r="B92" s="8" t="s">
        <v>23</v>
      </c>
      <c r="C92" s="8" t="s">
        <v>24</v>
      </c>
      <c r="D92" s="8" t="s">
        <v>15</v>
      </c>
      <c r="E92" s="15" t="s">
        <v>148</v>
      </c>
      <c r="F92" s="19" t="s">
        <v>17</v>
      </c>
      <c r="G92" s="16">
        <v>45551</v>
      </c>
      <c r="H92" s="10" t="s">
        <v>149</v>
      </c>
      <c r="I92" s="38">
        <v>4500413615</v>
      </c>
      <c r="J92" s="17" t="s">
        <v>150</v>
      </c>
      <c r="K92" s="1" t="s">
        <v>151</v>
      </c>
    </row>
    <row r="93" spans="1:11">
      <c r="A93" s="8" t="s">
        <v>152</v>
      </c>
      <c r="B93" s="8" t="s">
        <v>62</v>
      </c>
      <c r="C93" s="8" t="s">
        <v>63</v>
      </c>
      <c r="D93" s="8" t="s">
        <v>15</v>
      </c>
      <c r="E93" s="15" t="s">
        <v>113</v>
      </c>
      <c r="F93" s="14" t="s">
        <v>17</v>
      </c>
      <c r="G93" s="16">
        <v>45625</v>
      </c>
      <c r="H93" s="10" t="s">
        <v>58</v>
      </c>
      <c r="I93" s="37" t="str">
        <f>VLOOKUP(Tabla1[[#This Row],[Matricula nueva]],'[1]ALTA 20242025'!$B$1:$P$241,15,FALSE)</f>
        <v>4500424790</v>
      </c>
      <c r="J93" s="17" t="s">
        <v>59</v>
      </c>
      <c r="K93" s="1" t="s">
        <v>60</v>
      </c>
    </row>
    <row r="94" spans="1:11">
      <c r="A94" s="8" t="s">
        <v>153</v>
      </c>
      <c r="B94" s="8" t="s">
        <v>62</v>
      </c>
      <c r="C94" s="8" t="s">
        <v>63</v>
      </c>
      <c r="D94" s="8" t="s">
        <v>15</v>
      </c>
      <c r="E94" s="15" t="s">
        <v>154</v>
      </c>
      <c r="F94" s="14" t="s">
        <v>17</v>
      </c>
      <c r="G94" s="16">
        <v>45625</v>
      </c>
      <c r="H94" s="10" t="s">
        <v>46</v>
      </c>
      <c r="I94" s="37" t="str">
        <f>VLOOKUP(Tabla1[[#This Row],[Matricula nueva]],'[1]ALTA 20242025'!$B$1:$P$241,15,FALSE)</f>
        <v>4500424802</v>
      </c>
      <c r="J94" s="17" t="s">
        <v>47</v>
      </c>
      <c r="K94" s="1" t="s">
        <v>48</v>
      </c>
    </row>
    <row r="95" spans="1:11" ht="13.5" thickBot="1">
      <c r="A95" s="8" t="s">
        <v>155</v>
      </c>
      <c r="B95" s="8" t="s">
        <v>13</v>
      </c>
      <c r="C95" s="8" t="s">
        <v>14</v>
      </c>
      <c r="D95" s="8" t="s">
        <v>15</v>
      </c>
      <c r="E95" s="15" t="s">
        <v>156</v>
      </c>
      <c r="F95" s="18" t="s">
        <v>17</v>
      </c>
      <c r="G95" s="16">
        <v>45646</v>
      </c>
      <c r="H95" s="10" t="s">
        <v>58</v>
      </c>
      <c r="I95" s="37" t="str">
        <f>VLOOKUP(Tabla1[[#This Row],[Matricula nueva]],'[1]ALTA 20242025'!$B$1:$P$241,15,FALSE)</f>
        <v>4500426879</v>
      </c>
      <c r="J95" s="17" t="s">
        <v>59</v>
      </c>
      <c r="K95" s="1" t="s">
        <v>60</v>
      </c>
    </row>
    <row r="96" spans="1:11" ht="13.5" thickBot="1">
      <c r="A96" s="8" t="e">
        <v>#N/A</v>
      </c>
      <c r="B96" s="8" t="e">
        <v>#N/A</v>
      </c>
      <c r="C96" s="8" t="e">
        <v>#N/A</v>
      </c>
      <c r="D96" s="8" t="e">
        <v>#N/A</v>
      </c>
      <c r="E96" s="8" t="e">
        <v>#N/A</v>
      </c>
      <c r="F96" s="7" t="e">
        <v>#N/A</v>
      </c>
      <c r="G96" s="9" t="e">
        <v>#N/A</v>
      </c>
      <c r="H96" s="10" t="e">
        <v>#N/A</v>
      </c>
      <c r="I96" s="10" t="e">
        <f>VLOOKUP(Tabla1[[#This Row],[Matricula nueva]],'[1]ALTA 20242025'!$B$1:$P$241,15,FALSE)</f>
        <v>#N/A</v>
      </c>
      <c r="J96" s="11" t="e">
        <v>#N/A</v>
      </c>
    </row>
    <row r="97" spans="1:11">
      <c r="A97" s="8" t="s">
        <v>157</v>
      </c>
      <c r="B97" s="8" t="s">
        <v>13</v>
      </c>
      <c r="C97" s="8" t="s">
        <v>14</v>
      </c>
      <c r="D97" s="8" t="s">
        <v>15</v>
      </c>
      <c r="E97" s="15" t="s">
        <v>158</v>
      </c>
      <c r="F97" s="19" t="s">
        <v>17</v>
      </c>
      <c r="G97" s="16">
        <v>45625</v>
      </c>
      <c r="H97" s="10" t="s">
        <v>39</v>
      </c>
      <c r="I97" s="37" t="str">
        <f>VLOOKUP(Tabla1[[#This Row],[Matricula nueva]],'[1]ALTA 20242025'!$B$1:$P$241,15,FALSE)</f>
        <v>4500426787</v>
      </c>
      <c r="J97" s="17" t="s">
        <v>40</v>
      </c>
      <c r="K97" s="1" t="s">
        <v>41</v>
      </c>
    </row>
    <row r="98" spans="1:11">
      <c r="A98" s="8" t="s">
        <v>159</v>
      </c>
      <c r="B98" s="8" t="s">
        <v>62</v>
      </c>
      <c r="C98" s="8" t="s">
        <v>63</v>
      </c>
      <c r="D98" s="8" t="s">
        <v>15</v>
      </c>
      <c r="E98" s="15" t="s">
        <v>160</v>
      </c>
      <c r="F98" s="14" t="s">
        <v>17</v>
      </c>
      <c r="G98" s="16">
        <v>45625</v>
      </c>
      <c r="H98" s="10" t="s">
        <v>46</v>
      </c>
      <c r="I98" s="37" t="str">
        <f>VLOOKUP(Tabla1[[#This Row],[Matricula nueva]],'[1]ALTA 20242025'!$B$1:$P$241,15,FALSE)</f>
        <v>4500424812</v>
      </c>
      <c r="J98" s="17" t="s">
        <v>47</v>
      </c>
      <c r="K98" s="1" t="s">
        <v>48</v>
      </c>
    </row>
    <row r="99" spans="1:11" ht="13.5" thickBot="1">
      <c r="A99" s="8" t="s">
        <v>161</v>
      </c>
      <c r="B99" s="8" t="s">
        <v>62</v>
      </c>
      <c r="C99" s="8" t="s">
        <v>63</v>
      </c>
      <c r="D99" s="8" t="s">
        <v>15</v>
      </c>
      <c r="E99" s="15" t="s">
        <v>162</v>
      </c>
      <c r="F99" s="18" t="s">
        <v>17</v>
      </c>
      <c r="G99" s="16">
        <v>45625</v>
      </c>
      <c r="H99" s="10" t="s">
        <v>70</v>
      </c>
      <c r="I99" s="37" t="str">
        <f>VLOOKUP(Tabla1[[#This Row],[Matricula nueva]],'[1]ALTA 20242025'!$B$1:$P$241,15,FALSE)</f>
        <v>4500424806</v>
      </c>
      <c r="J99" s="17" t="s">
        <v>71</v>
      </c>
      <c r="K99" s="1" t="s">
        <v>72</v>
      </c>
    </row>
    <row r="100" spans="1:11" ht="13.5" thickBot="1">
      <c r="A100" s="8" t="e">
        <v>#N/A</v>
      </c>
      <c r="B100" s="8" t="e">
        <v>#N/A</v>
      </c>
      <c r="C100" s="8" t="e">
        <v>#N/A</v>
      </c>
      <c r="D100" s="8" t="e">
        <v>#N/A</v>
      </c>
      <c r="E100" s="8" t="e">
        <v>#N/A</v>
      </c>
      <c r="F100" s="7" t="e">
        <v>#N/A</v>
      </c>
      <c r="G100" s="9" t="e">
        <v>#N/A</v>
      </c>
      <c r="H100" s="10" t="e">
        <v>#N/A</v>
      </c>
      <c r="I100" s="10" t="e">
        <f>VLOOKUP(Tabla1[[#This Row],[Matricula nueva]],'[1]ALTA 20242025'!$B$1:$P$241,15,FALSE)</f>
        <v>#N/A</v>
      </c>
      <c r="J100" s="11" t="e">
        <v>#N/A</v>
      </c>
    </row>
    <row r="101" spans="1:11" ht="13.5" thickBot="1">
      <c r="A101" s="8" t="s">
        <v>163</v>
      </c>
      <c r="B101" s="8" t="s">
        <v>13</v>
      </c>
      <c r="C101" s="8" t="s">
        <v>14</v>
      </c>
      <c r="D101" s="8" t="s">
        <v>15</v>
      </c>
      <c r="E101" s="15" t="s">
        <v>57</v>
      </c>
      <c r="F101" s="20" t="s">
        <v>17</v>
      </c>
      <c r="G101" s="16">
        <v>45646</v>
      </c>
      <c r="H101" s="10" t="s">
        <v>58</v>
      </c>
      <c r="I101" s="37" t="str">
        <f>VLOOKUP(Tabla1[[#This Row],[Matricula nueva]],'[1]ALTA 20242025'!$B$1:$P$241,15,FALSE)</f>
        <v>4500426783</v>
      </c>
      <c r="J101" s="17" t="s">
        <v>59</v>
      </c>
      <c r="K101" s="1" t="s">
        <v>60</v>
      </c>
    </row>
    <row r="102" spans="1:11" ht="13.5" thickBot="1">
      <c r="A102" s="8" t="e">
        <v>#N/A</v>
      </c>
      <c r="B102" s="8" t="e">
        <v>#N/A</v>
      </c>
      <c r="C102" s="8" t="e">
        <v>#N/A</v>
      </c>
      <c r="D102" s="8" t="e">
        <v>#N/A</v>
      </c>
      <c r="E102" s="8" t="e">
        <v>#N/A</v>
      </c>
      <c r="F102" s="7" t="e">
        <v>#N/A</v>
      </c>
      <c r="G102" s="9" t="e">
        <v>#N/A</v>
      </c>
      <c r="H102" s="10" t="e">
        <v>#N/A</v>
      </c>
      <c r="I102" s="10" t="e">
        <f>VLOOKUP(Tabla1[[#This Row],[Matricula nueva]],'[1]ALTA 20242025'!$B$1:$P$241,15,FALSE)</f>
        <v>#N/A</v>
      </c>
      <c r="J102" s="11" t="e">
        <v>#N/A</v>
      </c>
    </row>
    <row r="103" spans="1:11">
      <c r="A103" s="8" t="s">
        <v>164</v>
      </c>
      <c r="B103" s="8" t="s">
        <v>62</v>
      </c>
      <c r="C103" s="8" t="s">
        <v>63</v>
      </c>
      <c r="D103" s="8" t="s">
        <v>15</v>
      </c>
      <c r="E103" s="15" t="s">
        <v>165</v>
      </c>
      <c r="F103" s="19" t="s">
        <v>17</v>
      </c>
      <c r="G103" s="16">
        <v>45625</v>
      </c>
      <c r="H103" s="10" t="s">
        <v>58</v>
      </c>
      <c r="I103" s="37" t="str">
        <f>VLOOKUP(Tabla1[[#This Row],[Matricula nueva]],'[1]ALTA 20242025'!$B$1:$P$241,15,FALSE)</f>
        <v>4500424814</v>
      </c>
      <c r="J103" s="17" t="s">
        <v>59</v>
      </c>
      <c r="K103" s="1" t="s">
        <v>60</v>
      </c>
    </row>
    <row r="104" spans="1:11">
      <c r="A104" s="8" t="s">
        <v>166</v>
      </c>
      <c r="B104" s="8" t="s">
        <v>62</v>
      </c>
      <c r="C104" s="8" t="s">
        <v>63</v>
      </c>
      <c r="D104" s="8" t="s">
        <v>15</v>
      </c>
      <c r="E104" s="15" t="s">
        <v>167</v>
      </c>
      <c r="F104" s="14" t="s">
        <v>17</v>
      </c>
      <c r="G104" s="16">
        <v>45625</v>
      </c>
      <c r="H104" s="10" t="s">
        <v>58</v>
      </c>
      <c r="I104" s="37" t="str">
        <f>VLOOKUP(Tabla1[[#This Row],[Matricula nueva]],'[1]ALTA 20242025'!$B$1:$P$241,15,FALSE)</f>
        <v>4500424819</v>
      </c>
      <c r="J104" s="17" t="s">
        <v>59</v>
      </c>
      <c r="K104" s="1" t="s">
        <v>60</v>
      </c>
    </row>
    <row r="105" spans="1:11">
      <c r="A105" s="8" t="s">
        <v>168</v>
      </c>
      <c r="B105" s="8" t="s">
        <v>13</v>
      </c>
      <c r="C105" s="8" t="s">
        <v>30</v>
      </c>
      <c r="D105" s="8" t="s">
        <v>15</v>
      </c>
      <c r="E105" s="15" t="s">
        <v>169</v>
      </c>
      <c r="F105" s="14" t="s">
        <v>170</v>
      </c>
      <c r="G105" s="16">
        <v>45674</v>
      </c>
      <c r="H105" s="10" t="s">
        <v>171</v>
      </c>
      <c r="I105" s="37" t="str">
        <f>VLOOKUP(Tabla1[[#This Row],[Matricula nueva]],'[1]ALTA 20242025'!$B$1:$P$241,15,FALSE)</f>
        <v>4500426844</v>
      </c>
      <c r="J105" s="17" t="s">
        <v>172</v>
      </c>
      <c r="K105" s="1" t="s">
        <v>173</v>
      </c>
    </row>
    <row r="106" spans="1:11">
      <c r="A106" s="8" t="s">
        <v>174</v>
      </c>
      <c r="B106" s="8" t="s">
        <v>13</v>
      </c>
      <c r="C106" s="8" t="s">
        <v>30</v>
      </c>
      <c r="D106" s="8" t="s">
        <v>15</v>
      </c>
      <c r="E106" s="15" t="s">
        <v>43</v>
      </c>
      <c r="F106" s="14" t="s">
        <v>32</v>
      </c>
      <c r="G106" s="16">
        <v>45135</v>
      </c>
      <c r="H106" s="10" t="s">
        <v>39</v>
      </c>
      <c r="I106" s="38">
        <v>4500351520</v>
      </c>
      <c r="J106" s="17" t="s">
        <v>40</v>
      </c>
      <c r="K106" s="1" t="s">
        <v>41</v>
      </c>
    </row>
    <row r="107" spans="1:11" ht="13.5" thickBot="1">
      <c r="A107" s="8" t="s">
        <v>175</v>
      </c>
      <c r="B107" s="8" t="s">
        <v>36</v>
      </c>
      <c r="C107" s="8" t="s">
        <v>176</v>
      </c>
      <c r="D107" s="8" t="s">
        <v>15</v>
      </c>
      <c r="E107" s="15" t="s">
        <v>38</v>
      </c>
      <c r="F107" s="18" t="s">
        <v>32</v>
      </c>
      <c r="G107" s="16">
        <v>45133</v>
      </c>
      <c r="H107" s="10" t="s">
        <v>39</v>
      </c>
      <c r="I107" s="38">
        <v>4500370216</v>
      </c>
      <c r="J107" s="17" t="s">
        <v>40</v>
      </c>
      <c r="K107" s="1" t="s">
        <v>41</v>
      </c>
    </row>
    <row r="108" spans="1:11" ht="13.5" thickBot="1">
      <c r="A108" s="8" t="e">
        <v>#N/A</v>
      </c>
      <c r="B108" s="8" t="e">
        <v>#N/A</v>
      </c>
      <c r="C108" s="8" t="e">
        <v>#N/A</v>
      </c>
      <c r="D108" s="8" t="e">
        <v>#N/A</v>
      </c>
      <c r="E108" s="8" t="e">
        <v>#N/A</v>
      </c>
      <c r="F108" s="7" t="e">
        <v>#N/A</v>
      </c>
      <c r="G108" s="9" t="e">
        <v>#N/A</v>
      </c>
      <c r="H108" s="10" t="e">
        <v>#N/A</v>
      </c>
      <c r="I108" s="10" t="e">
        <f>VLOOKUP(Tabla1[[#This Row],[Matricula nueva]],'[1]ALTA 20242025'!$B$1:$P$241,15,FALSE)</f>
        <v>#N/A</v>
      </c>
      <c r="J108" s="11" t="e">
        <v>#N/A</v>
      </c>
    </row>
    <row r="109" spans="1:11">
      <c r="A109" s="8" t="s">
        <v>177</v>
      </c>
      <c r="B109" s="8" t="s">
        <v>36</v>
      </c>
      <c r="C109" s="8" t="s">
        <v>176</v>
      </c>
      <c r="D109" s="8" t="s">
        <v>15</v>
      </c>
      <c r="E109" s="15" t="s">
        <v>38</v>
      </c>
      <c r="F109" s="19" t="s">
        <v>32</v>
      </c>
      <c r="G109" s="16">
        <v>45133</v>
      </c>
      <c r="H109" s="10" t="s">
        <v>39</v>
      </c>
      <c r="I109" s="38">
        <v>4500370232</v>
      </c>
      <c r="J109" s="17" t="s">
        <v>40</v>
      </c>
      <c r="K109" s="1" t="s">
        <v>41</v>
      </c>
    </row>
    <row r="110" spans="1:11">
      <c r="A110" s="8" t="s">
        <v>178</v>
      </c>
      <c r="B110" s="8" t="s">
        <v>179</v>
      </c>
      <c r="C110" s="8" t="s">
        <v>180</v>
      </c>
      <c r="D110" s="8" t="s">
        <v>15</v>
      </c>
      <c r="E110" s="15" t="s">
        <v>181</v>
      </c>
      <c r="F110" s="14" t="s">
        <v>32</v>
      </c>
      <c r="G110" s="16">
        <v>45051</v>
      </c>
      <c r="H110" s="10" t="s">
        <v>39</v>
      </c>
      <c r="I110" s="38">
        <v>4500352855</v>
      </c>
      <c r="J110" s="17" t="s">
        <v>40</v>
      </c>
      <c r="K110" s="1" t="s">
        <v>41</v>
      </c>
    </row>
    <row r="111" spans="1:11">
      <c r="A111" s="8" t="s">
        <v>182</v>
      </c>
      <c r="B111" s="8" t="s">
        <v>36</v>
      </c>
      <c r="C111" s="8" t="s">
        <v>37</v>
      </c>
      <c r="D111" s="8" t="s">
        <v>15</v>
      </c>
      <c r="E111" s="15" t="s">
        <v>183</v>
      </c>
      <c r="F111" s="14" t="s">
        <v>32</v>
      </c>
      <c r="G111" s="16">
        <v>45133</v>
      </c>
      <c r="H111" s="10" t="s">
        <v>39</v>
      </c>
      <c r="I111" s="38">
        <v>4500370368</v>
      </c>
      <c r="J111" s="17" t="s">
        <v>40</v>
      </c>
      <c r="K111" s="1" t="s">
        <v>41</v>
      </c>
    </row>
    <row r="112" spans="1:11">
      <c r="A112" s="8" t="s">
        <v>184</v>
      </c>
      <c r="B112" s="8" t="s">
        <v>13</v>
      </c>
      <c r="C112" s="8" t="s">
        <v>30</v>
      </c>
      <c r="D112" s="8" t="s">
        <v>15</v>
      </c>
      <c r="E112" s="15" t="s">
        <v>183</v>
      </c>
      <c r="F112" s="14" t="s">
        <v>32</v>
      </c>
      <c r="G112" s="16">
        <v>45135</v>
      </c>
      <c r="H112" s="10" t="s">
        <v>39</v>
      </c>
      <c r="I112" s="38">
        <v>4500370369</v>
      </c>
      <c r="J112" s="17" t="s">
        <v>40</v>
      </c>
      <c r="K112" s="1" t="s">
        <v>41</v>
      </c>
    </row>
    <row r="113" spans="1:11">
      <c r="A113" s="8" t="s">
        <v>185</v>
      </c>
      <c r="B113" s="8" t="s">
        <v>13</v>
      </c>
      <c r="C113" s="8" t="s">
        <v>14</v>
      </c>
      <c r="D113" s="8" t="s">
        <v>15</v>
      </c>
      <c r="E113" s="15" t="s">
        <v>186</v>
      </c>
      <c r="F113" s="14" t="s">
        <v>17</v>
      </c>
      <c r="G113" s="16">
        <v>45649</v>
      </c>
      <c r="H113" s="10" t="s">
        <v>187</v>
      </c>
      <c r="I113" s="37" t="str">
        <f>VLOOKUP(Tabla1[[#This Row],[Matricula nueva]],'[1]ALTA 20242025'!$B$1:$P$241,15,FALSE)</f>
        <v>4500426875</v>
      </c>
      <c r="J113" s="17" t="s">
        <v>188</v>
      </c>
      <c r="K113" s="1" t="s">
        <v>189</v>
      </c>
    </row>
    <row r="114" spans="1:11">
      <c r="A114" s="8" t="s">
        <v>190</v>
      </c>
      <c r="B114" s="8" t="s">
        <v>13</v>
      </c>
      <c r="C114" s="8" t="s">
        <v>30</v>
      </c>
      <c r="D114" s="8" t="s">
        <v>15</v>
      </c>
      <c r="E114" s="15" t="s">
        <v>191</v>
      </c>
      <c r="F114" s="14" t="s">
        <v>32</v>
      </c>
      <c r="G114" s="16">
        <v>44922</v>
      </c>
      <c r="H114" s="10" t="s">
        <v>39</v>
      </c>
      <c r="I114" s="38">
        <v>4500348261</v>
      </c>
      <c r="J114" s="17" t="s">
        <v>40</v>
      </c>
      <c r="K114" s="1" t="s">
        <v>41</v>
      </c>
    </row>
    <row r="115" spans="1:11">
      <c r="A115" s="8" t="s">
        <v>192</v>
      </c>
      <c r="B115" s="8" t="s">
        <v>13</v>
      </c>
      <c r="C115" s="8" t="s">
        <v>34</v>
      </c>
      <c r="D115" s="8" t="s">
        <v>15</v>
      </c>
      <c r="E115" s="15" t="s">
        <v>193</v>
      </c>
      <c r="F115" s="14" t="s">
        <v>32</v>
      </c>
      <c r="G115" s="16">
        <v>43019</v>
      </c>
      <c r="H115" s="10" t="s">
        <v>39</v>
      </c>
      <c r="I115" s="38">
        <v>4500352582</v>
      </c>
      <c r="J115" s="17" t="s">
        <v>40</v>
      </c>
      <c r="K115" s="1" t="s">
        <v>41</v>
      </c>
    </row>
    <row r="116" spans="1:11">
      <c r="A116" s="8" t="s">
        <v>194</v>
      </c>
      <c r="B116" s="8" t="s">
        <v>62</v>
      </c>
      <c r="C116" s="8" t="s">
        <v>63</v>
      </c>
      <c r="D116" s="8" t="s">
        <v>15</v>
      </c>
      <c r="E116" s="15" t="s">
        <v>64</v>
      </c>
      <c r="F116" s="14" t="s">
        <v>17</v>
      </c>
      <c r="G116" s="16">
        <v>45637</v>
      </c>
      <c r="H116" s="10" t="s">
        <v>65</v>
      </c>
      <c r="I116" s="37" t="str">
        <f>VLOOKUP(Tabla1[[#This Row],[Matricula nueva]],'[1]ALTA 20242025'!$B$1:$P$241,15,FALSE)</f>
        <v>4500424902</v>
      </c>
      <c r="J116" s="17" t="s">
        <v>66</v>
      </c>
      <c r="K116" s="1" t="s">
        <v>67</v>
      </c>
    </row>
    <row r="117" spans="1:11">
      <c r="A117" s="8" t="s">
        <v>195</v>
      </c>
      <c r="B117" s="8" t="s">
        <v>62</v>
      </c>
      <c r="C117" s="8" t="s">
        <v>63</v>
      </c>
      <c r="D117" s="8" t="s">
        <v>15</v>
      </c>
      <c r="E117" s="15" t="s">
        <v>137</v>
      </c>
      <c r="F117" s="14" t="s">
        <v>17</v>
      </c>
      <c r="G117" s="16">
        <v>45625</v>
      </c>
      <c r="H117" s="10" t="s">
        <v>103</v>
      </c>
      <c r="I117" s="37" t="str">
        <f>VLOOKUP(Tabla1[[#This Row],[Matricula nueva]],'[1]ALTA 20242025'!$B$1:$P$241,15,FALSE)</f>
        <v>4500424801</v>
      </c>
      <c r="J117" s="17" t="s">
        <v>104</v>
      </c>
      <c r="K117" s="1" t="s">
        <v>105</v>
      </c>
    </row>
    <row r="118" spans="1:11">
      <c r="A118" s="8" t="s">
        <v>196</v>
      </c>
      <c r="B118" s="8" t="s">
        <v>13</v>
      </c>
      <c r="C118" s="8" t="s">
        <v>14</v>
      </c>
      <c r="D118" s="8" t="s">
        <v>15</v>
      </c>
      <c r="E118" s="15" t="s">
        <v>197</v>
      </c>
      <c r="F118" s="14" t="s">
        <v>17</v>
      </c>
      <c r="G118" s="16">
        <v>45645</v>
      </c>
      <c r="H118" s="10" t="s">
        <v>46</v>
      </c>
      <c r="I118" s="37" t="str">
        <f>VLOOKUP(Tabla1[[#This Row],[Matricula nueva]],'[1]ALTA 20242025'!$B$1:$P$241,15,FALSE)</f>
        <v>4500426846</v>
      </c>
      <c r="J118" s="17" t="s">
        <v>47</v>
      </c>
      <c r="K118" s="1" t="s">
        <v>48</v>
      </c>
    </row>
    <row r="119" spans="1:11">
      <c r="A119" s="8" t="s">
        <v>198</v>
      </c>
      <c r="B119" s="8" t="s">
        <v>13</v>
      </c>
      <c r="C119" s="8" t="s">
        <v>14</v>
      </c>
      <c r="D119" s="8" t="s">
        <v>15</v>
      </c>
      <c r="E119" s="15" t="s">
        <v>102</v>
      </c>
      <c r="F119" s="14" t="s">
        <v>17</v>
      </c>
      <c r="G119" s="16">
        <v>45625</v>
      </c>
      <c r="H119" s="10" t="s">
        <v>103</v>
      </c>
      <c r="I119" s="37" t="str">
        <f>VLOOKUP(Tabla1[[#This Row],[Matricula nueva]],'[1]ALTA 20242025'!$B$1:$P$241,15,FALSE)</f>
        <v>4500426776</v>
      </c>
      <c r="J119" s="17" t="s">
        <v>104</v>
      </c>
      <c r="K119" s="1" t="s">
        <v>105</v>
      </c>
    </row>
    <row r="120" spans="1:11">
      <c r="A120" s="8" t="s">
        <v>199</v>
      </c>
      <c r="B120" s="8" t="s">
        <v>13</v>
      </c>
      <c r="C120" s="8" t="s">
        <v>34</v>
      </c>
      <c r="D120" s="8" t="s">
        <v>15</v>
      </c>
      <c r="E120" s="15" t="s">
        <v>200</v>
      </c>
      <c r="F120" s="14" t="s">
        <v>32</v>
      </c>
      <c r="G120" s="16">
        <v>43439</v>
      </c>
      <c r="H120" s="10" t="s">
        <v>26</v>
      </c>
      <c r="I120" s="38">
        <v>4500389256</v>
      </c>
      <c r="J120" s="17" t="s">
        <v>27</v>
      </c>
      <c r="K120" s="1" t="s">
        <v>28</v>
      </c>
    </row>
    <row r="121" spans="1:11">
      <c r="A121" s="8" t="s">
        <v>201</v>
      </c>
      <c r="B121" s="8" t="s">
        <v>23</v>
      </c>
      <c r="C121" s="8" t="s">
        <v>24</v>
      </c>
      <c r="D121" s="8" t="s">
        <v>15</v>
      </c>
      <c r="E121" s="15" t="s">
        <v>25</v>
      </c>
      <c r="F121" s="14" t="s">
        <v>17</v>
      </c>
      <c r="G121" s="16">
        <v>45483</v>
      </c>
      <c r="H121" s="10" t="s">
        <v>26</v>
      </c>
      <c r="I121" s="38">
        <v>4500407448</v>
      </c>
      <c r="J121" s="17" t="s">
        <v>27</v>
      </c>
      <c r="K121" s="1" t="s">
        <v>28</v>
      </c>
    </row>
    <row r="122" spans="1:11">
      <c r="A122" s="8" t="s">
        <v>202</v>
      </c>
      <c r="B122" s="8" t="s">
        <v>179</v>
      </c>
      <c r="C122" s="8" t="s">
        <v>180</v>
      </c>
      <c r="D122" s="8" t="s">
        <v>15</v>
      </c>
      <c r="E122" s="15" t="s">
        <v>43</v>
      </c>
      <c r="F122" s="14" t="s">
        <v>32</v>
      </c>
      <c r="G122" s="16">
        <v>45051</v>
      </c>
      <c r="H122" s="10" t="s">
        <v>39</v>
      </c>
      <c r="I122" s="38">
        <v>4500351861</v>
      </c>
      <c r="J122" s="17" t="s">
        <v>40</v>
      </c>
      <c r="K122" s="1" t="s">
        <v>41</v>
      </c>
    </row>
    <row r="123" spans="1:11" ht="13.5" thickBot="1">
      <c r="A123" s="8" t="s">
        <v>203</v>
      </c>
      <c r="B123" s="8" t="s">
        <v>36</v>
      </c>
      <c r="C123" s="8" t="s">
        <v>37</v>
      </c>
      <c r="D123" s="8" t="s">
        <v>15</v>
      </c>
      <c r="E123" s="15" t="s">
        <v>183</v>
      </c>
      <c r="F123" s="18" t="s">
        <v>32</v>
      </c>
      <c r="G123" s="16">
        <v>45133</v>
      </c>
      <c r="H123" s="10" t="s">
        <v>39</v>
      </c>
      <c r="I123" s="37">
        <v>4500370371</v>
      </c>
      <c r="J123" s="17" t="s">
        <v>40</v>
      </c>
      <c r="K123" s="1" t="s">
        <v>41</v>
      </c>
    </row>
    <row r="124" spans="1:11" ht="13.5" thickBot="1">
      <c r="A124" s="8" t="e">
        <v>#N/A</v>
      </c>
      <c r="B124" s="8" t="e">
        <v>#N/A</v>
      </c>
      <c r="C124" s="8" t="e">
        <v>#N/A</v>
      </c>
      <c r="D124" s="8" t="e">
        <v>#N/A</v>
      </c>
      <c r="E124" s="8" t="e">
        <v>#N/A</v>
      </c>
      <c r="F124" s="7" t="e">
        <v>#N/A</v>
      </c>
      <c r="G124" s="9" t="e">
        <v>#N/A</v>
      </c>
      <c r="H124" s="10" t="e">
        <v>#N/A</v>
      </c>
      <c r="I124" s="10" t="e">
        <f>VLOOKUP(Tabla1[[#This Row],[Matricula nueva]],'[1]ALTA 20242025'!$B$1:$P$241,15,FALSE)</f>
        <v>#N/A</v>
      </c>
      <c r="J124" s="11" t="e">
        <v>#N/A</v>
      </c>
    </row>
    <row r="125" spans="1:11">
      <c r="A125" s="8" t="s">
        <v>204</v>
      </c>
      <c r="B125" s="8" t="s">
        <v>36</v>
      </c>
      <c r="C125" s="8" t="s">
        <v>37</v>
      </c>
      <c r="D125" s="8" t="s">
        <v>15</v>
      </c>
      <c r="E125" s="15" t="s">
        <v>38</v>
      </c>
      <c r="F125" s="19" t="s">
        <v>32</v>
      </c>
      <c r="G125" s="16">
        <v>45133</v>
      </c>
      <c r="H125" s="10" t="s">
        <v>39</v>
      </c>
      <c r="I125" s="37">
        <v>4500370221</v>
      </c>
      <c r="J125" s="17" t="s">
        <v>40</v>
      </c>
      <c r="K125" s="1" t="s">
        <v>41</v>
      </c>
    </row>
    <row r="126" spans="1:11">
      <c r="A126" s="8" t="s">
        <v>205</v>
      </c>
      <c r="B126" s="8" t="s">
        <v>13</v>
      </c>
      <c r="C126" s="8" t="s">
        <v>30</v>
      </c>
      <c r="D126" s="8" t="s">
        <v>15</v>
      </c>
      <c r="E126" s="15" t="s">
        <v>191</v>
      </c>
      <c r="F126" s="14" t="s">
        <v>32</v>
      </c>
      <c r="G126" s="16">
        <v>44922</v>
      </c>
      <c r="H126" s="10" t="s">
        <v>39</v>
      </c>
      <c r="I126" s="37">
        <v>4500348266</v>
      </c>
      <c r="J126" s="17" t="s">
        <v>40</v>
      </c>
      <c r="K126" s="1" t="s">
        <v>41</v>
      </c>
    </row>
    <row r="127" spans="1:11">
      <c r="A127" s="8" t="s">
        <v>206</v>
      </c>
      <c r="B127" s="8" t="s">
        <v>13</v>
      </c>
      <c r="C127" s="8" t="s">
        <v>30</v>
      </c>
      <c r="D127" s="8" t="s">
        <v>15</v>
      </c>
      <c r="E127" s="15" t="s">
        <v>193</v>
      </c>
      <c r="F127" s="14" t="s">
        <v>32</v>
      </c>
      <c r="G127" s="16">
        <v>44922</v>
      </c>
      <c r="H127" s="10" t="s">
        <v>39</v>
      </c>
      <c r="I127" s="37">
        <v>4500348764</v>
      </c>
      <c r="J127" s="17" t="s">
        <v>40</v>
      </c>
      <c r="K127" s="1" t="s">
        <v>41</v>
      </c>
    </row>
    <row r="128" spans="1:11">
      <c r="A128" s="8" t="s">
        <v>207</v>
      </c>
      <c r="B128" s="8" t="s">
        <v>13</v>
      </c>
      <c r="C128" s="8" t="s">
        <v>30</v>
      </c>
      <c r="D128" s="8" t="s">
        <v>15</v>
      </c>
      <c r="E128" s="15" t="s">
        <v>208</v>
      </c>
      <c r="F128" s="14" t="s">
        <v>32</v>
      </c>
      <c r="G128" s="16">
        <v>45135</v>
      </c>
      <c r="H128" s="10" t="s">
        <v>39</v>
      </c>
      <c r="I128" s="37">
        <v>4500352342</v>
      </c>
      <c r="J128" s="17" t="s">
        <v>40</v>
      </c>
      <c r="K128" s="1" t="s">
        <v>41</v>
      </c>
    </row>
    <row r="129" spans="1:11" ht="13.5" thickBot="1">
      <c r="A129" s="8" t="s">
        <v>209</v>
      </c>
      <c r="B129" s="8" t="s">
        <v>62</v>
      </c>
      <c r="C129" s="8" t="s">
        <v>63</v>
      </c>
      <c r="D129" s="8" t="s">
        <v>15</v>
      </c>
      <c r="E129" s="15" t="s">
        <v>210</v>
      </c>
      <c r="F129" s="18" t="s">
        <v>17</v>
      </c>
      <c r="G129" s="16">
        <v>45637</v>
      </c>
      <c r="H129" s="10" t="s">
        <v>65</v>
      </c>
      <c r="I129" s="37" t="str">
        <f>VLOOKUP(Tabla1[[#This Row],[Matricula nueva]],'[1]ALTA 20242025'!$B$1:$P$241,15,FALSE)</f>
        <v>4500424867</v>
      </c>
      <c r="J129" s="17" t="s">
        <v>66</v>
      </c>
      <c r="K129" s="1" t="s">
        <v>67</v>
      </c>
    </row>
    <row r="130" spans="1:11" ht="13.5" thickBot="1">
      <c r="A130" s="8" t="e">
        <v>#N/A</v>
      </c>
      <c r="B130" s="8" t="e">
        <v>#N/A</v>
      </c>
      <c r="C130" s="8" t="e">
        <v>#N/A</v>
      </c>
      <c r="D130" s="8" t="e">
        <v>#N/A</v>
      </c>
      <c r="E130" s="8" t="e">
        <v>#N/A</v>
      </c>
      <c r="F130" s="7" t="e">
        <v>#N/A</v>
      </c>
      <c r="G130" s="9" t="e">
        <v>#N/A</v>
      </c>
      <c r="H130" s="10" t="e">
        <v>#N/A</v>
      </c>
      <c r="I130" s="10" t="e">
        <f>VLOOKUP(Tabla1[[#This Row],[Matricula nueva]],'[1]ALTA 20242025'!$B$1:$P$241,15,FALSE)</f>
        <v>#N/A</v>
      </c>
      <c r="J130" s="11" t="e">
        <v>#N/A</v>
      </c>
    </row>
    <row r="131" spans="1:11">
      <c r="A131" s="8" t="s">
        <v>211</v>
      </c>
      <c r="B131" s="8" t="s">
        <v>62</v>
      </c>
      <c r="C131" s="8" t="s">
        <v>63</v>
      </c>
      <c r="D131" s="8" t="s">
        <v>15</v>
      </c>
      <c r="E131" s="15" t="s">
        <v>76</v>
      </c>
      <c r="F131" s="19" t="s">
        <v>17</v>
      </c>
      <c r="G131" s="16">
        <v>45637</v>
      </c>
      <c r="H131" s="10" t="s">
        <v>65</v>
      </c>
      <c r="I131" s="37" t="str">
        <f>VLOOKUP(Tabla1[[#This Row],[Matricula nueva]],'[1]ALTA 20242025'!$B$1:$P$241,15,FALSE)</f>
        <v>4500424886</v>
      </c>
      <c r="J131" s="17" t="s">
        <v>66</v>
      </c>
      <c r="K131" s="1" t="s">
        <v>67</v>
      </c>
    </row>
    <row r="132" spans="1:11">
      <c r="A132" s="8" t="s">
        <v>212</v>
      </c>
      <c r="B132" s="8" t="s">
        <v>13</v>
      </c>
      <c r="C132" s="8" t="s">
        <v>34</v>
      </c>
      <c r="D132" s="8" t="s">
        <v>15</v>
      </c>
      <c r="E132" s="15" t="s">
        <v>213</v>
      </c>
      <c r="F132" s="14" t="s">
        <v>32</v>
      </c>
      <c r="G132" s="16">
        <v>43019</v>
      </c>
      <c r="H132" s="10" t="s">
        <v>214</v>
      </c>
      <c r="I132" s="38">
        <v>4500349877</v>
      </c>
      <c r="J132" s="17" t="s">
        <v>215</v>
      </c>
      <c r="K132" s="1" t="s">
        <v>216</v>
      </c>
    </row>
    <row r="133" spans="1:11">
      <c r="A133" s="8" t="s">
        <v>217</v>
      </c>
      <c r="B133" s="8" t="s">
        <v>13</v>
      </c>
      <c r="C133" s="8" t="s">
        <v>14</v>
      </c>
      <c r="D133" s="8" t="s">
        <v>15</v>
      </c>
      <c r="E133" s="15" t="s">
        <v>218</v>
      </c>
      <c r="F133" s="14" t="s">
        <v>17</v>
      </c>
      <c r="G133" s="16">
        <v>45625</v>
      </c>
      <c r="H133" s="10" t="s">
        <v>103</v>
      </c>
      <c r="I133" s="37" t="str">
        <f>VLOOKUP(Tabla1[[#This Row],[Matricula nueva]],'[1]ALTA 20242025'!$B$1:$P$241,15,FALSE)</f>
        <v>4500426780</v>
      </c>
      <c r="J133" s="17" t="s">
        <v>104</v>
      </c>
      <c r="K133" s="1" t="s">
        <v>105</v>
      </c>
    </row>
    <row r="134" spans="1:11">
      <c r="A134" s="8" t="s">
        <v>219</v>
      </c>
      <c r="B134" s="8" t="s">
        <v>62</v>
      </c>
      <c r="C134" s="8" t="s">
        <v>63</v>
      </c>
      <c r="D134" s="8" t="s">
        <v>15</v>
      </c>
      <c r="E134" s="15" t="s">
        <v>220</v>
      </c>
      <c r="F134" s="14" t="s">
        <v>17</v>
      </c>
      <c r="G134" s="16">
        <v>45625</v>
      </c>
      <c r="H134" s="10" t="s">
        <v>39</v>
      </c>
      <c r="I134" s="37" t="str">
        <f>VLOOKUP(Tabla1[[#This Row],[Matricula nueva]],'[1]ALTA 20242025'!$B$1:$P$241,15,FALSE)</f>
        <v>4500424838</v>
      </c>
      <c r="J134" s="17" t="s">
        <v>40</v>
      </c>
      <c r="K134" s="1" t="s">
        <v>41</v>
      </c>
    </row>
    <row r="135" spans="1:11">
      <c r="A135" s="8" t="s">
        <v>221</v>
      </c>
      <c r="B135" s="8" t="s">
        <v>23</v>
      </c>
      <c r="C135" s="8" t="s">
        <v>24</v>
      </c>
      <c r="D135" s="8" t="s">
        <v>15</v>
      </c>
      <c r="E135" s="15" t="s">
        <v>222</v>
      </c>
      <c r="F135" s="14" t="s">
        <v>17</v>
      </c>
      <c r="G135" s="16">
        <v>45616</v>
      </c>
      <c r="H135" s="10" t="s">
        <v>39</v>
      </c>
      <c r="I135" s="37" t="str">
        <f>VLOOKUP(Tabla1[[#This Row],[Matricula nueva]],'[1]ALTA 20242025'!$B$1:$P$241,15,FALSE)</f>
        <v>4500423385</v>
      </c>
      <c r="J135" s="17" t="s">
        <v>40</v>
      </c>
      <c r="K135" s="1" t="s">
        <v>41</v>
      </c>
    </row>
    <row r="136" spans="1:11">
      <c r="A136" s="8" t="s">
        <v>223</v>
      </c>
      <c r="B136" s="8" t="s">
        <v>23</v>
      </c>
      <c r="C136" s="8" t="s">
        <v>24</v>
      </c>
      <c r="D136" s="8" t="s">
        <v>15</v>
      </c>
      <c r="E136" s="15" t="s">
        <v>222</v>
      </c>
      <c r="F136" s="14" t="s">
        <v>17</v>
      </c>
      <c r="G136" s="16">
        <v>45616</v>
      </c>
      <c r="H136" s="10" t="s">
        <v>39</v>
      </c>
      <c r="I136" s="37" t="str">
        <f>VLOOKUP(Tabla1[[#This Row],[Matricula nueva]],'[1]ALTA 20242025'!$B$1:$P$241,15,FALSE)</f>
        <v>4500423384</v>
      </c>
      <c r="J136" s="17" t="s">
        <v>40</v>
      </c>
      <c r="K136" s="1" t="s">
        <v>41</v>
      </c>
    </row>
    <row r="137" spans="1:11">
      <c r="A137" s="8" t="s">
        <v>224</v>
      </c>
      <c r="B137" s="8" t="s">
        <v>13</v>
      </c>
      <c r="C137" s="8" t="s">
        <v>30</v>
      </c>
      <c r="D137" s="8" t="s">
        <v>15</v>
      </c>
      <c r="E137" s="15" t="s">
        <v>43</v>
      </c>
      <c r="F137" s="14" t="s">
        <v>32</v>
      </c>
      <c r="G137" s="16">
        <v>44945</v>
      </c>
      <c r="H137" s="10" t="s">
        <v>39</v>
      </c>
      <c r="I137" s="38">
        <v>4500351523</v>
      </c>
      <c r="J137" s="17" t="s">
        <v>40</v>
      </c>
      <c r="K137" s="1" t="s">
        <v>41</v>
      </c>
    </row>
    <row r="138" spans="1:11">
      <c r="A138" s="8" t="s">
        <v>225</v>
      </c>
      <c r="B138" s="8" t="s">
        <v>13</v>
      </c>
      <c r="C138" s="8" t="s">
        <v>30</v>
      </c>
      <c r="D138" s="8" t="s">
        <v>15</v>
      </c>
      <c r="E138" s="15" t="s">
        <v>43</v>
      </c>
      <c r="F138" s="14" t="s">
        <v>32</v>
      </c>
      <c r="G138" s="16">
        <v>44945</v>
      </c>
      <c r="H138" s="10" t="s">
        <v>39</v>
      </c>
      <c r="I138" s="38">
        <v>4500351522</v>
      </c>
      <c r="J138" s="17" t="s">
        <v>40</v>
      </c>
      <c r="K138" s="1" t="s">
        <v>41</v>
      </c>
    </row>
    <row r="139" spans="1:11">
      <c r="A139" s="8" t="s">
        <v>226</v>
      </c>
      <c r="B139" s="8" t="s">
        <v>13</v>
      </c>
      <c r="C139" s="8" t="s">
        <v>14</v>
      </c>
      <c r="D139" s="8" t="s">
        <v>15</v>
      </c>
      <c r="E139" s="15" t="s">
        <v>227</v>
      </c>
      <c r="F139" s="14" t="s">
        <v>17</v>
      </c>
      <c r="G139" s="16">
        <v>45652</v>
      </c>
      <c r="H139" s="10" t="s">
        <v>39</v>
      </c>
      <c r="I139" s="37" t="str">
        <f>VLOOKUP(Tabla1[[#This Row],[Matricula nueva]],'[1]ALTA 20242025'!$B$1:$P$241,15,FALSE)</f>
        <v>4500426777</v>
      </c>
      <c r="J139" s="17" t="s">
        <v>40</v>
      </c>
      <c r="K139" s="1" t="s">
        <v>41</v>
      </c>
    </row>
    <row r="140" spans="1:11" ht="13.5" thickBot="1">
      <c r="A140" s="8" t="s">
        <v>228</v>
      </c>
      <c r="B140" s="8" t="s">
        <v>13</v>
      </c>
      <c r="C140" s="8" t="s">
        <v>14</v>
      </c>
      <c r="D140" s="8" t="s">
        <v>15</v>
      </c>
      <c r="E140" s="15" t="s">
        <v>229</v>
      </c>
      <c r="F140" s="18" t="s">
        <v>17</v>
      </c>
      <c r="G140" s="16">
        <v>45625</v>
      </c>
      <c r="H140" s="10" t="s">
        <v>39</v>
      </c>
      <c r="I140" s="37" t="str">
        <f>VLOOKUP(Tabla1[[#This Row],[Matricula nueva]],'[1]ALTA 20242025'!$B$1:$P$241,15,FALSE)</f>
        <v>4500426784</v>
      </c>
      <c r="J140" s="17" t="s">
        <v>40</v>
      </c>
      <c r="K140" s="1" t="s">
        <v>41</v>
      </c>
    </row>
    <row r="141" spans="1:11" ht="13.5" thickBot="1">
      <c r="A141" s="8" t="e">
        <v>#N/A</v>
      </c>
      <c r="B141" s="8" t="e">
        <v>#N/A</v>
      </c>
      <c r="C141" s="8" t="e">
        <v>#N/A</v>
      </c>
      <c r="D141" s="8" t="e">
        <v>#N/A</v>
      </c>
      <c r="E141" s="8" t="e">
        <v>#N/A</v>
      </c>
      <c r="F141" s="7" t="e">
        <v>#N/A</v>
      </c>
      <c r="G141" s="9" t="e">
        <v>#N/A</v>
      </c>
      <c r="H141" s="10" t="e">
        <v>#N/A</v>
      </c>
      <c r="I141" s="10" t="e">
        <f>VLOOKUP(Tabla1[[#This Row],[Matricula nueva]],'[1]ALTA 20242025'!$B$1:$P$241,15,FALSE)</f>
        <v>#N/A</v>
      </c>
      <c r="J141" s="11" t="e">
        <v>#N/A</v>
      </c>
    </row>
    <row r="142" spans="1:11">
      <c r="A142" s="8" t="s">
        <v>230</v>
      </c>
      <c r="B142" s="8" t="s">
        <v>13</v>
      </c>
      <c r="C142" s="8" t="s">
        <v>14</v>
      </c>
      <c r="D142" s="8" t="s">
        <v>15</v>
      </c>
      <c r="E142" s="15" t="s">
        <v>231</v>
      </c>
      <c r="F142" s="19" t="s">
        <v>17</v>
      </c>
      <c r="G142" s="16">
        <v>45625</v>
      </c>
      <c r="H142" s="10" t="s">
        <v>39</v>
      </c>
      <c r="I142" s="37" t="str">
        <f>VLOOKUP(Tabla1[[#This Row],[Matricula nueva]],'[1]ALTA 20242025'!$B$1:$P$241,15,FALSE)</f>
        <v>4500426757</v>
      </c>
      <c r="J142" s="17" t="s">
        <v>40</v>
      </c>
      <c r="K142" s="1" t="s">
        <v>41</v>
      </c>
    </row>
    <row r="143" spans="1:11">
      <c r="A143" s="8" t="s">
        <v>232</v>
      </c>
      <c r="B143" s="8" t="s">
        <v>13</v>
      </c>
      <c r="C143" s="8" t="s">
        <v>14</v>
      </c>
      <c r="D143" s="8" t="s">
        <v>15</v>
      </c>
      <c r="E143" s="15" t="s">
        <v>231</v>
      </c>
      <c r="F143" s="14" t="s">
        <v>17</v>
      </c>
      <c r="G143" s="16">
        <v>45625</v>
      </c>
      <c r="H143" s="10" t="s">
        <v>39</v>
      </c>
      <c r="I143" s="37" t="str">
        <f>VLOOKUP(Tabla1[[#This Row],[Matricula nueva]],'[1]ALTA 20242025'!$B$1:$P$241,15,FALSE)</f>
        <v>4500426788</v>
      </c>
      <c r="J143" s="17" t="s">
        <v>40</v>
      </c>
      <c r="K143" s="1" t="s">
        <v>41</v>
      </c>
    </row>
    <row r="144" spans="1:11">
      <c r="A144" s="8" t="s">
        <v>233</v>
      </c>
      <c r="B144" s="8" t="s">
        <v>13</v>
      </c>
      <c r="C144" s="8" t="s">
        <v>14</v>
      </c>
      <c r="D144" s="8" t="s">
        <v>15</v>
      </c>
      <c r="E144" s="15" t="s">
        <v>234</v>
      </c>
      <c r="F144" s="14" t="s">
        <v>17</v>
      </c>
      <c r="G144" s="16">
        <v>45625</v>
      </c>
      <c r="H144" s="10" t="s">
        <v>39</v>
      </c>
      <c r="I144" s="37" t="str">
        <f>VLOOKUP(Tabla1[[#This Row],[Matricula nueva]],'[1]ALTA 20242025'!$B$1:$P$241,15,FALSE)</f>
        <v>4500426773</v>
      </c>
      <c r="J144" s="17" t="s">
        <v>40</v>
      </c>
      <c r="K144" s="1" t="s">
        <v>41</v>
      </c>
    </row>
    <row r="145" spans="1:11">
      <c r="A145" s="8" t="s">
        <v>235</v>
      </c>
      <c r="B145" s="8" t="s">
        <v>13</v>
      </c>
      <c r="C145" s="8" t="s">
        <v>14</v>
      </c>
      <c r="D145" s="8" t="s">
        <v>15</v>
      </c>
      <c r="E145" s="15" t="s">
        <v>220</v>
      </c>
      <c r="F145" s="14" t="s">
        <v>17</v>
      </c>
      <c r="G145" s="16">
        <v>45625</v>
      </c>
      <c r="H145" s="10" t="s">
        <v>39</v>
      </c>
      <c r="I145" s="37" t="str">
        <f>VLOOKUP(Tabla1[[#This Row],[Matricula nueva]],'[1]ALTA 20242025'!$B$1:$P$241,15,FALSE)</f>
        <v>4500426845</v>
      </c>
      <c r="J145" s="17" t="s">
        <v>40</v>
      </c>
      <c r="K145" s="1" t="s">
        <v>41</v>
      </c>
    </row>
    <row r="146" spans="1:11">
      <c r="A146" s="8" t="s">
        <v>236</v>
      </c>
      <c r="B146" s="8" t="s">
        <v>179</v>
      </c>
      <c r="C146" s="8" t="s">
        <v>180</v>
      </c>
      <c r="D146" s="8" t="s">
        <v>15</v>
      </c>
      <c r="E146" s="15" t="s">
        <v>43</v>
      </c>
      <c r="F146" s="14" t="s">
        <v>32</v>
      </c>
      <c r="G146" s="16">
        <v>45051</v>
      </c>
      <c r="H146" s="10" t="s">
        <v>39</v>
      </c>
      <c r="I146" s="38">
        <v>4500351860</v>
      </c>
      <c r="J146" s="17" t="s">
        <v>40</v>
      </c>
      <c r="K146" s="1" t="s">
        <v>41</v>
      </c>
    </row>
    <row r="147" spans="1:11" ht="13.5" thickBot="1">
      <c r="A147" s="8" t="s">
        <v>237</v>
      </c>
      <c r="B147" s="8" t="s">
        <v>62</v>
      </c>
      <c r="C147" s="8" t="s">
        <v>63</v>
      </c>
      <c r="D147" s="8" t="s">
        <v>15</v>
      </c>
      <c r="E147" s="15" t="s">
        <v>238</v>
      </c>
      <c r="F147" s="18" t="s">
        <v>17</v>
      </c>
      <c r="G147" s="16">
        <v>45622</v>
      </c>
      <c r="H147" s="10" t="s">
        <v>46</v>
      </c>
      <c r="I147" s="37" t="str">
        <f>VLOOKUP(Tabla1[[#This Row],[Matricula nueva]],'[1]ALTA 20242025'!$B$1:$P$241,15,FALSE)</f>
        <v>4500424775</v>
      </c>
      <c r="J147" s="17" t="s">
        <v>47</v>
      </c>
      <c r="K147" s="1" t="s">
        <v>48</v>
      </c>
    </row>
    <row r="148" spans="1:11" ht="13.5" thickBot="1">
      <c r="A148" s="8" t="e">
        <v>#N/A</v>
      </c>
      <c r="B148" s="8" t="e">
        <v>#N/A</v>
      </c>
      <c r="C148" s="8" t="e">
        <v>#N/A</v>
      </c>
      <c r="D148" s="8" t="e">
        <v>#N/A</v>
      </c>
      <c r="E148" s="8" t="e">
        <v>#N/A</v>
      </c>
      <c r="F148" s="7" t="e">
        <v>#N/A</v>
      </c>
      <c r="G148" s="9" t="e">
        <v>#N/A</v>
      </c>
      <c r="H148" s="10" t="e">
        <v>#N/A</v>
      </c>
      <c r="I148" s="10" t="e">
        <f>VLOOKUP(Tabla1[[#This Row],[Matricula nueva]],'[1]ALTA 20242025'!$B$1:$P$241,15,FALSE)</f>
        <v>#N/A</v>
      </c>
      <c r="J148" s="11" t="e">
        <v>#N/A</v>
      </c>
    </row>
    <row r="149" spans="1:11">
      <c r="A149" s="8" t="s">
        <v>239</v>
      </c>
      <c r="B149" s="8" t="s">
        <v>62</v>
      </c>
      <c r="C149" s="8" t="s">
        <v>63</v>
      </c>
      <c r="D149" s="8" t="s">
        <v>15</v>
      </c>
      <c r="E149" s="15" t="s">
        <v>240</v>
      </c>
      <c r="F149" s="19" t="s">
        <v>17</v>
      </c>
      <c r="G149" s="16">
        <v>45625</v>
      </c>
      <c r="H149" s="10" t="s">
        <v>46</v>
      </c>
      <c r="I149" s="37" t="str">
        <f>VLOOKUP(Tabla1[[#This Row],[Matricula nueva]],'[1]ALTA 20242025'!$B$1:$P$241,15,FALSE)</f>
        <v>4500424813</v>
      </c>
      <c r="J149" s="17" t="s">
        <v>47</v>
      </c>
      <c r="K149" s="1" t="s">
        <v>48</v>
      </c>
    </row>
    <row r="150" spans="1:11">
      <c r="A150" s="8" t="s">
        <v>241</v>
      </c>
      <c r="B150" s="8" t="s">
        <v>13</v>
      </c>
      <c r="C150" s="8" t="s">
        <v>30</v>
      </c>
      <c r="D150" s="8" t="s">
        <v>15</v>
      </c>
      <c r="E150" s="15" t="s">
        <v>183</v>
      </c>
      <c r="F150" s="14" t="s">
        <v>32</v>
      </c>
      <c r="G150" s="16">
        <v>45135</v>
      </c>
      <c r="H150" s="10" t="s">
        <v>39</v>
      </c>
      <c r="I150" s="38">
        <v>4500370370</v>
      </c>
      <c r="J150" s="17" t="s">
        <v>40</v>
      </c>
      <c r="K150" s="1" t="s">
        <v>41</v>
      </c>
    </row>
    <row r="151" spans="1:11" ht="13.5" thickBot="1">
      <c r="A151" s="8" t="s">
        <v>242</v>
      </c>
      <c r="B151" s="8" t="s">
        <v>62</v>
      </c>
      <c r="C151" s="8" t="s">
        <v>243</v>
      </c>
      <c r="D151" s="8" t="s">
        <v>15</v>
      </c>
      <c r="E151" s="15" t="s">
        <v>244</v>
      </c>
      <c r="F151" s="18" t="s">
        <v>17</v>
      </c>
      <c r="G151" s="16">
        <v>45615</v>
      </c>
      <c r="H151" s="10" t="s">
        <v>39</v>
      </c>
      <c r="I151" s="38">
        <v>4500406594</v>
      </c>
      <c r="J151" s="17" t="s">
        <v>40</v>
      </c>
      <c r="K151" s="1" t="s">
        <v>41</v>
      </c>
    </row>
    <row r="152" spans="1:11" ht="13.5" thickBot="1">
      <c r="A152" s="8" t="e">
        <v>#N/A</v>
      </c>
      <c r="B152" s="8" t="e">
        <v>#N/A</v>
      </c>
      <c r="C152" s="8" t="e">
        <v>#N/A</v>
      </c>
      <c r="D152" s="8" t="e">
        <v>#N/A</v>
      </c>
      <c r="E152" s="8" t="e">
        <v>#N/A</v>
      </c>
      <c r="F152" s="7" t="e">
        <v>#N/A</v>
      </c>
      <c r="G152" s="9" t="e">
        <v>#N/A</v>
      </c>
      <c r="H152" s="10" t="e">
        <v>#N/A</v>
      </c>
      <c r="I152" s="10" t="e">
        <f>VLOOKUP(Tabla1[[#This Row],[Matricula nueva]],'[1]ALTA 20242025'!$B$1:$P$241,15,FALSE)</f>
        <v>#N/A</v>
      </c>
      <c r="J152" s="11" t="e">
        <v>#N/A</v>
      </c>
    </row>
    <row r="153" spans="1:11">
      <c r="A153" s="8" t="s">
        <v>245</v>
      </c>
      <c r="B153" s="8" t="s">
        <v>62</v>
      </c>
      <c r="C153" s="8" t="s">
        <v>63</v>
      </c>
      <c r="D153" s="8" t="s">
        <v>15</v>
      </c>
      <c r="E153" s="15" t="s">
        <v>246</v>
      </c>
      <c r="F153" s="19" t="s">
        <v>17</v>
      </c>
      <c r="G153" s="16">
        <v>45625</v>
      </c>
      <c r="H153" s="10" t="s">
        <v>103</v>
      </c>
      <c r="I153" s="37" t="str">
        <f>VLOOKUP(Tabla1[[#This Row],[Matricula nueva]],'[1]ALTA 20242025'!$B$1:$P$241,15,FALSE)</f>
        <v>4500424804</v>
      </c>
      <c r="J153" s="17" t="s">
        <v>104</v>
      </c>
      <c r="K153" s="1" t="s">
        <v>105</v>
      </c>
    </row>
    <row r="154" spans="1:11">
      <c r="A154" s="8" t="s">
        <v>247</v>
      </c>
      <c r="B154" s="8" t="s">
        <v>13</v>
      </c>
      <c r="C154" s="8" t="s">
        <v>14</v>
      </c>
      <c r="D154" s="8" t="s">
        <v>15</v>
      </c>
      <c r="E154" s="15" t="s">
        <v>50</v>
      </c>
      <c r="F154" s="14" t="s">
        <v>17</v>
      </c>
      <c r="G154" s="16">
        <v>45625</v>
      </c>
      <c r="H154" s="10" t="s">
        <v>18</v>
      </c>
      <c r="I154" s="37" t="str">
        <f>VLOOKUP(Tabla1[[#This Row],[Matricula nueva]],'[1]ALTA 20242025'!$B$1:$P$241,15,FALSE)</f>
        <v>4500426790</v>
      </c>
      <c r="J154" s="17" t="s">
        <v>19</v>
      </c>
      <c r="K154" s="1" t="s">
        <v>20</v>
      </c>
    </row>
    <row r="155" spans="1:11">
      <c r="A155" s="8" t="s">
        <v>248</v>
      </c>
      <c r="B155" s="8" t="s">
        <v>62</v>
      </c>
      <c r="C155" s="8" t="s">
        <v>63</v>
      </c>
      <c r="D155" s="8" t="s">
        <v>15</v>
      </c>
      <c r="E155" s="15" t="s">
        <v>249</v>
      </c>
      <c r="F155" s="14" t="s">
        <v>17</v>
      </c>
      <c r="G155" s="16">
        <v>45625</v>
      </c>
      <c r="H155" s="10" t="s">
        <v>26</v>
      </c>
      <c r="I155" s="37" t="str">
        <f>VLOOKUP(Tabla1[[#This Row],[Matricula nueva]],'[1]ALTA 20242025'!$B$1:$P$241,15,FALSE)</f>
        <v>4500425488</v>
      </c>
      <c r="J155" s="17" t="s">
        <v>27</v>
      </c>
      <c r="K155" s="1" t="s">
        <v>28</v>
      </c>
    </row>
    <row r="156" spans="1:11">
      <c r="A156" s="8" t="s">
        <v>250</v>
      </c>
      <c r="B156" s="8" t="s">
        <v>36</v>
      </c>
      <c r="C156" s="8" t="s">
        <v>176</v>
      </c>
      <c r="D156" s="8" t="s">
        <v>15</v>
      </c>
      <c r="E156" s="15" t="s">
        <v>38</v>
      </c>
      <c r="F156" s="14" t="s">
        <v>32</v>
      </c>
      <c r="G156" s="16">
        <v>45133</v>
      </c>
      <c r="H156" s="10" t="s">
        <v>39</v>
      </c>
      <c r="I156" s="38">
        <v>4500370224</v>
      </c>
      <c r="J156" s="17" t="s">
        <v>40</v>
      </c>
      <c r="K156" s="1" t="s">
        <v>41</v>
      </c>
    </row>
    <row r="157" spans="1:11">
      <c r="A157" s="8" t="s">
        <v>251</v>
      </c>
      <c r="B157" s="8" t="s">
        <v>62</v>
      </c>
      <c r="C157" s="8" t="s">
        <v>63</v>
      </c>
      <c r="D157" s="8" t="s">
        <v>15</v>
      </c>
      <c r="E157" s="15" t="s">
        <v>79</v>
      </c>
      <c r="F157" s="14" t="s">
        <v>17</v>
      </c>
      <c r="G157" s="16">
        <v>45625</v>
      </c>
      <c r="H157" s="10" t="s">
        <v>46</v>
      </c>
      <c r="I157" s="37" t="str">
        <f>VLOOKUP(Tabla1[[#This Row],[Matricula nueva]],'[1]ALTA 20242025'!$B$1:$P$241,15,FALSE)</f>
        <v>4500424803</v>
      </c>
      <c r="J157" s="17" t="s">
        <v>47</v>
      </c>
      <c r="K157" s="1" t="s">
        <v>48</v>
      </c>
    </row>
    <row r="158" spans="1:11">
      <c r="A158" s="8" t="s">
        <v>252</v>
      </c>
      <c r="B158" s="8" t="s">
        <v>62</v>
      </c>
      <c r="C158" s="8" t="s">
        <v>63</v>
      </c>
      <c r="D158" s="8" t="s">
        <v>15</v>
      </c>
      <c r="E158" s="15" t="s">
        <v>253</v>
      </c>
      <c r="F158" s="14" t="s">
        <v>17</v>
      </c>
      <c r="G158" s="16">
        <v>45625</v>
      </c>
      <c r="H158" s="10" t="s">
        <v>46</v>
      </c>
      <c r="I158" s="37" t="str">
        <f>VLOOKUP(Tabla1[[#This Row],[Matricula nueva]],'[1]ALTA 20242025'!$B$1:$P$241,15,FALSE)</f>
        <v>4500424818</v>
      </c>
      <c r="J158" s="17" t="s">
        <v>47</v>
      </c>
      <c r="K158" s="1" t="s">
        <v>48</v>
      </c>
    </row>
    <row r="159" spans="1:11">
      <c r="A159" s="8" t="s">
        <v>254</v>
      </c>
      <c r="B159" s="8" t="s">
        <v>13</v>
      </c>
      <c r="C159" s="8" t="s">
        <v>14</v>
      </c>
      <c r="D159" s="8" t="s">
        <v>15</v>
      </c>
      <c r="E159" s="15" t="s">
        <v>255</v>
      </c>
      <c r="F159" s="14" t="s">
        <v>17</v>
      </c>
      <c r="G159" s="16">
        <v>45625</v>
      </c>
      <c r="H159" s="10" t="s">
        <v>103</v>
      </c>
      <c r="I159" s="37" t="str">
        <f>VLOOKUP(Tabla1[[#This Row],[Matricula nueva]],'[1]ALTA 20242025'!$B$1:$P$241,15,FALSE)</f>
        <v>4500426761</v>
      </c>
      <c r="J159" s="17"/>
      <c r="K159" s="1" t="s">
        <v>105</v>
      </c>
    </row>
    <row r="160" spans="1:11">
      <c r="A160" s="8" t="s">
        <v>256</v>
      </c>
      <c r="B160" s="8" t="s">
        <v>13</v>
      </c>
      <c r="C160" s="8" t="s">
        <v>14</v>
      </c>
      <c r="D160" s="8" t="s">
        <v>15</v>
      </c>
      <c r="E160" s="15" t="s">
        <v>257</v>
      </c>
      <c r="F160" s="14" t="s">
        <v>17</v>
      </c>
      <c r="G160" s="16">
        <v>45625</v>
      </c>
      <c r="H160" s="10" t="s">
        <v>39</v>
      </c>
      <c r="I160" s="37" t="str">
        <f>VLOOKUP(Tabla1[[#This Row],[Matricula nueva]],'[1]ALTA 20242025'!$B$1:$P$241,15,FALSE)</f>
        <v>4500426770</v>
      </c>
      <c r="J160" s="17"/>
      <c r="K160" s="1" t="s">
        <v>41</v>
      </c>
    </row>
    <row r="161" spans="1:11">
      <c r="A161" s="8" t="s">
        <v>258</v>
      </c>
      <c r="B161" s="8" t="s">
        <v>62</v>
      </c>
      <c r="C161" s="8" t="s">
        <v>63</v>
      </c>
      <c r="D161" s="8" t="s">
        <v>15</v>
      </c>
      <c r="E161" s="15" t="s">
        <v>259</v>
      </c>
      <c r="F161" s="14" t="s">
        <v>17</v>
      </c>
      <c r="G161" s="16">
        <v>45625</v>
      </c>
      <c r="H161" s="10" t="s">
        <v>26</v>
      </c>
      <c r="I161" s="37" t="str">
        <f>VLOOKUP(Tabla1[[#This Row],[Matricula nueva]],'[1]ALTA 20242025'!$B$1:$P$241,15,FALSE)</f>
        <v>4500424787</v>
      </c>
      <c r="J161" s="17"/>
      <c r="K161" s="1" t="s">
        <v>28</v>
      </c>
    </row>
    <row r="162" spans="1:11">
      <c r="A162" s="8" t="s">
        <v>260</v>
      </c>
      <c r="B162" s="8" t="s">
        <v>23</v>
      </c>
      <c r="C162" s="8" t="s">
        <v>24</v>
      </c>
      <c r="D162" s="8" t="s">
        <v>15</v>
      </c>
      <c r="E162" s="15" t="s">
        <v>87</v>
      </c>
      <c r="F162" s="14" t="s">
        <v>17</v>
      </c>
      <c r="G162" s="16">
        <v>45616</v>
      </c>
      <c r="H162" s="10" t="s">
        <v>18</v>
      </c>
      <c r="I162" s="37" t="str">
        <f>VLOOKUP(Tabla1[[#This Row],[Matricula nueva]],'[1]ALTA 20242025'!$B$1:$P$241,15,FALSE)</f>
        <v>4500423383</v>
      </c>
      <c r="J162" s="17"/>
      <c r="K162" s="1" t="s">
        <v>20</v>
      </c>
    </row>
    <row r="163" spans="1:11" ht="13.5" thickBot="1">
      <c r="A163" s="8" t="s">
        <v>261</v>
      </c>
      <c r="B163" s="8" t="s">
        <v>23</v>
      </c>
      <c r="C163" s="8" t="s">
        <v>24</v>
      </c>
      <c r="D163" s="8" t="s">
        <v>15</v>
      </c>
      <c r="E163" s="15" t="s">
        <v>52</v>
      </c>
      <c r="F163" s="18" t="s">
        <v>17</v>
      </c>
      <c r="G163" s="16">
        <v>45616</v>
      </c>
      <c r="H163" s="10" t="s">
        <v>18</v>
      </c>
      <c r="I163" s="37" t="str">
        <f>VLOOKUP(Tabla1[[#This Row],[Matricula nueva]],'[1]ALTA 20242025'!$B$1:$P$241,15,FALSE)</f>
        <v>4500423228</v>
      </c>
      <c r="J163" s="17" t="s">
        <v>19</v>
      </c>
      <c r="K163" s="1" t="s">
        <v>20</v>
      </c>
    </row>
    <row r="164" spans="1:11" ht="13.5" thickBot="1">
      <c r="A164" s="8" t="e">
        <v>#N/A</v>
      </c>
      <c r="B164" s="8" t="e">
        <v>#N/A</v>
      </c>
      <c r="C164" s="8" t="e">
        <v>#N/A</v>
      </c>
      <c r="D164" s="8" t="e">
        <v>#N/A</v>
      </c>
      <c r="E164" s="8" t="e">
        <v>#N/A</v>
      </c>
      <c r="F164" s="7" t="e">
        <v>#N/A</v>
      </c>
      <c r="G164" s="9" t="e">
        <v>#N/A</v>
      </c>
      <c r="H164" s="10" t="e">
        <v>#N/A</v>
      </c>
      <c r="I164" s="10" t="e">
        <f>VLOOKUP(Tabla1[[#This Row],[Matricula nueva]],'[1]ALTA 20242025'!$B$1:$P$241,15,FALSE)</f>
        <v>#N/A</v>
      </c>
      <c r="J164" s="11" t="e">
        <v>#N/A</v>
      </c>
    </row>
    <row r="165" spans="1:11">
      <c r="A165" s="8" t="s">
        <v>262</v>
      </c>
      <c r="B165" s="8" t="s">
        <v>13</v>
      </c>
      <c r="C165" s="8" t="s">
        <v>14</v>
      </c>
      <c r="D165" s="8" t="s">
        <v>15</v>
      </c>
      <c r="E165" s="15" t="s">
        <v>52</v>
      </c>
      <c r="F165" s="19" t="s">
        <v>17</v>
      </c>
      <c r="G165" s="16">
        <v>45625</v>
      </c>
      <c r="H165" s="10" t="s">
        <v>18</v>
      </c>
      <c r="I165" s="37" t="str">
        <f>VLOOKUP(Tabla1[[#This Row],[Matricula nueva]],'[1]ALTA 20242025'!$B$1:$P$241,15,FALSE)</f>
        <v>4500426792</v>
      </c>
      <c r="J165" s="17" t="s">
        <v>19</v>
      </c>
      <c r="K165" s="1" t="s">
        <v>20</v>
      </c>
    </row>
    <row r="166" spans="1:11">
      <c r="A166" s="8" t="s">
        <v>263</v>
      </c>
      <c r="B166" s="8" t="s">
        <v>13</v>
      </c>
      <c r="C166" s="8" t="s">
        <v>14</v>
      </c>
      <c r="D166" s="8" t="s">
        <v>15</v>
      </c>
      <c r="E166" s="15" t="s">
        <v>50</v>
      </c>
      <c r="F166" s="14" t="s">
        <v>17</v>
      </c>
      <c r="G166" s="16">
        <v>45625</v>
      </c>
      <c r="H166" s="10" t="s">
        <v>18</v>
      </c>
      <c r="I166" s="37" t="str">
        <f>VLOOKUP(Tabla1[[#This Row],[Matricula nueva]],'[1]ALTA 20242025'!$B$1:$P$241,15,FALSE)</f>
        <v>4500426840</v>
      </c>
      <c r="J166" s="17" t="s">
        <v>19</v>
      </c>
      <c r="K166" s="1" t="s">
        <v>20</v>
      </c>
    </row>
    <row r="167" spans="1:11">
      <c r="A167" s="8" t="s">
        <v>264</v>
      </c>
      <c r="B167" s="8" t="s">
        <v>23</v>
      </c>
      <c r="C167" s="8" t="s">
        <v>24</v>
      </c>
      <c r="D167" s="8" t="s">
        <v>15</v>
      </c>
      <c r="E167" s="15" t="s">
        <v>246</v>
      </c>
      <c r="F167" s="14" t="s">
        <v>17</v>
      </c>
      <c r="G167" s="16">
        <v>45608</v>
      </c>
      <c r="H167" s="10" t="s">
        <v>103</v>
      </c>
      <c r="I167" s="38">
        <v>4500421017</v>
      </c>
      <c r="J167" s="17" t="s">
        <v>104</v>
      </c>
      <c r="K167" s="1" t="s">
        <v>105</v>
      </c>
    </row>
    <row r="168" spans="1:11">
      <c r="A168" s="8" t="s">
        <v>265</v>
      </c>
      <c r="B168" s="8" t="s">
        <v>13</v>
      </c>
      <c r="C168" s="8" t="s">
        <v>14</v>
      </c>
      <c r="D168" s="8" t="s">
        <v>15</v>
      </c>
      <c r="E168" s="15" t="s">
        <v>266</v>
      </c>
      <c r="F168" s="14" t="s">
        <v>17</v>
      </c>
      <c r="G168" s="16">
        <v>45649</v>
      </c>
      <c r="H168" s="10" t="s">
        <v>26</v>
      </c>
      <c r="I168" s="37" t="str">
        <f>VLOOKUP(Tabla1[[#This Row],[Matricula nueva]],'[1]ALTA 20242025'!$B$1:$P$241,15,FALSE)</f>
        <v>4500426850</v>
      </c>
      <c r="J168" s="17" t="s">
        <v>27</v>
      </c>
      <c r="K168" s="1" t="s">
        <v>28</v>
      </c>
    </row>
    <row r="169" spans="1:11">
      <c r="A169" s="8" t="s">
        <v>267</v>
      </c>
      <c r="B169" s="8" t="s">
        <v>13</v>
      </c>
      <c r="C169" s="8" t="s">
        <v>14</v>
      </c>
      <c r="D169" s="8" t="s">
        <v>15</v>
      </c>
      <c r="E169" s="15" t="s">
        <v>268</v>
      </c>
      <c r="F169" s="14" t="s">
        <v>17</v>
      </c>
      <c r="G169" s="16">
        <v>45649</v>
      </c>
      <c r="H169" s="10" t="s">
        <v>99</v>
      </c>
      <c r="I169" s="37" t="str">
        <f>VLOOKUP(Tabla1[[#This Row],[Matricula nueva]],'[1]ALTA 20242025'!$B$1:$P$241,15,FALSE)</f>
        <v>X</v>
      </c>
      <c r="J169" s="17" t="s">
        <v>100</v>
      </c>
    </row>
    <row r="170" spans="1:11">
      <c r="A170" s="8" t="s">
        <v>269</v>
      </c>
      <c r="B170" s="8" t="s">
        <v>62</v>
      </c>
      <c r="C170" s="8" t="s">
        <v>63</v>
      </c>
      <c r="D170" s="8" t="s">
        <v>15</v>
      </c>
      <c r="E170" s="15" t="s">
        <v>96</v>
      </c>
      <c r="F170" s="14" t="s">
        <v>17</v>
      </c>
      <c r="G170" s="16">
        <v>45625</v>
      </c>
      <c r="H170" s="10" t="s">
        <v>39</v>
      </c>
      <c r="I170" s="37" t="str">
        <f>VLOOKUP(Tabla1[[#This Row],[Matricula nueva]],'[1]ALTA 20242025'!$B$1:$P$241,15,FALSE)</f>
        <v>4500424827</v>
      </c>
      <c r="J170" s="17" t="s">
        <v>40</v>
      </c>
      <c r="K170" s="1" t="s">
        <v>41</v>
      </c>
    </row>
    <row r="171" spans="1:11" ht="13.5" thickBot="1">
      <c r="A171" s="8" t="s">
        <v>270</v>
      </c>
      <c r="B171" s="8" t="s">
        <v>13</v>
      </c>
      <c r="C171" s="8" t="s">
        <v>14</v>
      </c>
      <c r="D171" s="8" t="s">
        <v>15</v>
      </c>
      <c r="E171" s="15" t="s">
        <v>271</v>
      </c>
      <c r="F171" s="18" t="s">
        <v>17</v>
      </c>
      <c r="G171" s="16">
        <v>45649</v>
      </c>
      <c r="H171" s="10" t="s">
        <v>187</v>
      </c>
      <c r="I171" s="37" t="str">
        <f>VLOOKUP(Tabla1[[#This Row],[Matricula nueva]],'[1]ALTA 20242025'!$B$1:$P$241,15,FALSE)</f>
        <v>4500427622</v>
      </c>
      <c r="J171" s="17" t="s">
        <v>188</v>
      </c>
      <c r="K171" s="1" t="s">
        <v>189</v>
      </c>
    </row>
    <row r="172" spans="1:11" ht="13.5" thickBot="1">
      <c r="A172" s="8" t="e">
        <v>#N/A</v>
      </c>
      <c r="B172" s="8" t="e">
        <v>#N/A</v>
      </c>
      <c r="C172" s="8" t="e">
        <v>#N/A</v>
      </c>
      <c r="D172" s="8" t="e">
        <v>#N/A</v>
      </c>
      <c r="E172" s="8" t="e">
        <v>#N/A</v>
      </c>
      <c r="F172" s="7" t="e">
        <v>#N/A</v>
      </c>
      <c r="G172" s="9" t="e">
        <v>#N/A</v>
      </c>
      <c r="H172" s="10" t="e">
        <v>#N/A</v>
      </c>
      <c r="I172" s="10" t="e">
        <f>VLOOKUP(Tabla1[[#This Row],[Matricula nueva]],'[1]ALTA 20242025'!$B$1:$P$241,15,FALSE)</f>
        <v>#N/A</v>
      </c>
      <c r="J172" s="11" t="e">
        <v>#N/A</v>
      </c>
    </row>
    <row r="173" spans="1:11">
      <c r="A173" s="8" t="s">
        <v>272</v>
      </c>
      <c r="B173" s="8" t="s">
        <v>13</v>
      </c>
      <c r="C173" s="8" t="s">
        <v>14</v>
      </c>
      <c r="D173" s="8" t="s">
        <v>15</v>
      </c>
      <c r="E173" s="15" t="s">
        <v>197</v>
      </c>
      <c r="F173" s="19" t="s">
        <v>17</v>
      </c>
      <c r="G173" s="16">
        <v>45645</v>
      </c>
      <c r="H173" s="10" t="s">
        <v>46</v>
      </c>
      <c r="I173" s="37" t="str">
        <f>VLOOKUP(Tabla1[[#This Row],[Matricula nueva]],'[1]ALTA 20242025'!$B$1:$P$241,15,FALSE)</f>
        <v>4500426868</v>
      </c>
      <c r="J173" s="17" t="s">
        <v>47</v>
      </c>
      <c r="K173" s="1" t="s">
        <v>48</v>
      </c>
    </row>
    <row r="174" spans="1:11">
      <c r="A174" s="8" t="s">
        <v>273</v>
      </c>
      <c r="B174" s="8" t="s">
        <v>179</v>
      </c>
      <c r="C174" s="8" t="s">
        <v>180</v>
      </c>
      <c r="D174" s="8" t="s">
        <v>15</v>
      </c>
      <c r="E174" s="15" t="s">
        <v>181</v>
      </c>
      <c r="F174" s="14" t="s">
        <v>32</v>
      </c>
      <c r="G174" s="16">
        <v>45063</v>
      </c>
      <c r="H174" s="10" t="s">
        <v>39</v>
      </c>
      <c r="I174" s="38">
        <v>4500352857</v>
      </c>
      <c r="J174" s="17" t="s">
        <v>40</v>
      </c>
      <c r="K174" s="1" t="s">
        <v>41</v>
      </c>
    </row>
    <row r="175" spans="1:11">
      <c r="A175" s="8" t="s">
        <v>274</v>
      </c>
      <c r="B175" s="8" t="s">
        <v>13</v>
      </c>
      <c r="C175" s="8" t="s">
        <v>30</v>
      </c>
      <c r="D175" s="8" t="s">
        <v>15</v>
      </c>
      <c r="E175" s="15" t="s">
        <v>193</v>
      </c>
      <c r="F175" s="14" t="s">
        <v>32</v>
      </c>
      <c r="G175" s="16">
        <v>44922</v>
      </c>
      <c r="H175" s="10" t="s">
        <v>39</v>
      </c>
      <c r="I175" s="38">
        <v>4500348765</v>
      </c>
      <c r="J175" s="17" t="s">
        <v>40</v>
      </c>
      <c r="K175" s="1" t="s">
        <v>41</v>
      </c>
    </row>
    <row r="176" spans="1:11">
      <c r="A176" s="8" t="s">
        <v>275</v>
      </c>
      <c r="B176" s="8" t="s">
        <v>13</v>
      </c>
      <c r="C176" s="8" t="s">
        <v>34</v>
      </c>
      <c r="D176" s="8" t="s">
        <v>15</v>
      </c>
      <c r="E176" s="15" t="s">
        <v>191</v>
      </c>
      <c r="F176" s="14" t="s">
        <v>32</v>
      </c>
      <c r="G176" s="16">
        <v>43018</v>
      </c>
      <c r="H176" s="10" t="s">
        <v>39</v>
      </c>
      <c r="I176" s="38">
        <v>4500350425</v>
      </c>
      <c r="J176" s="17" t="s">
        <v>40</v>
      </c>
      <c r="K176" s="1" t="s">
        <v>41</v>
      </c>
    </row>
    <row r="177" spans="1:11">
      <c r="A177" s="8" t="s">
        <v>276</v>
      </c>
      <c r="B177" s="8" t="s">
        <v>62</v>
      </c>
      <c r="C177" s="8" t="s">
        <v>63</v>
      </c>
      <c r="D177" s="8" t="s">
        <v>15</v>
      </c>
      <c r="E177" s="15" t="s">
        <v>57</v>
      </c>
      <c r="F177" s="14" t="s">
        <v>17</v>
      </c>
      <c r="G177" s="16">
        <v>45625</v>
      </c>
      <c r="H177" s="10" t="s">
        <v>58</v>
      </c>
      <c r="I177" s="37" t="str">
        <f>VLOOKUP(Tabla1[[#This Row],[Matricula nueva]],'[1]ALTA 20242025'!$B$1:$P$241,15,FALSE)</f>
        <v>4500424816</v>
      </c>
      <c r="J177" s="17" t="s">
        <v>59</v>
      </c>
      <c r="K177" s="1" t="s">
        <v>60</v>
      </c>
    </row>
    <row r="178" spans="1:11">
      <c r="A178" s="8" t="s">
        <v>277</v>
      </c>
      <c r="B178" s="8" t="s">
        <v>62</v>
      </c>
      <c r="C178" s="8" t="s">
        <v>63</v>
      </c>
      <c r="D178" s="8" t="s">
        <v>15</v>
      </c>
      <c r="E178" s="15" t="s">
        <v>197</v>
      </c>
      <c r="F178" s="14" t="s">
        <v>17</v>
      </c>
      <c r="G178" s="16">
        <v>45625</v>
      </c>
      <c r="H178" s="10" t="s">
        <v>46</v>
      </c>
      <c r="I178" s="37" t="str">
        <f>VLOOKUP(Tabla1[[#This Row],[Matricula nueva]],'[1]ALTA 20242025'!$B$1:$P$241,15,FALSE)</f>
        <v>4500424815</v>
      </c>
      <c r="J178" s="17" t="s">
        <v>47</v>
      </c>
      <c r="K178" s="1" t="s">
        <v>48</v>
      </c>
    </row>
    <row r="179" spans="1:11">
      <c r="A179" s="8" t="s">
        <v>278</v>
      </c>
      <c r="B179" s="8" t="s">
        <v>62</v>
      </c>
      <c r="C179" s="8" t="s">
        <v>63</v>
      </c>
      <c r="D179" s="8" t="s">
        <v>15</v>
      </c>
      <c r="E179" s="15" t="s">
        <v>87</v>
      </c>
      <c r="F179" s="14" t="s">
        <v>17</v>
      </c>
      <c r="G179" s="16">
        <v>45630</v>
      </c>
      <c r="H179" s="10" t="s">
        <v>18</v>
      </c>
      <c r="I179" s="37" t="str">
        <f>VLOOKUP(Tabla1[[#This Row],[Matricula nueva]],'[1]ALTA 20242025'!$B$1:$P$241,15,FALSE)</f>
        <v>4500424817</v>
      </c>
      <c r="J179" s="17" t="s">
        <v>19</v>
      </c>
      <c r="K179" s="1" t="s">
        <v>20</v>
      </c>
    </row>
    <row r="180" spans="1:11">
      <c r="A180" s="8" t="s">
        <v>279</v>
      </c>
      <c r="B180" s="8" t="s">
        <v>23</v>
      </c>
      <c r="C180" s="8" t="s">
        <v>24</v>
      </c>
      <c r="D180" s="8" t="s">
        <v>15</v>
      </c>
      <c r="E180" s="15" t="s">
        <v>244</v>
      </c>
      <c r="F180" s="14" t="s">
        <v>17</v>
      </c>
      <c r="G180" s="16">
        <v>45463</v>
      </c>
      <c r="H180" s="10" t="s">
        <v>39</v>
      </c>
      <c r="I180" s="38">
        <v>4500406593</v>
      </c>
      <c r="J180" s="17" t="s">
        <v>40</v>
      </c>
      <c r="K180" s="1" t="s">
        <v>41</v>
      </c>
    </row>
    <row r="181" spans="1:11">
      <c r="A181" s="8" t="s">
        <v>280</v>
      </c>
      <c r="B181" s="8" t="s">
        <v>13</v>
      </c>
      <c r="C181" s="8" t="s">
        <v>14</v>
      </c>
      <c r="D181" s="8" t="s">
        <v>15</v>
      </c>
      <c r="E181" s="15" t="s">
        <v>197</v>
      </c>
      <c r="F181" s="14" t="s">
        <v>17</v>
      </c>
      <c r="G181" s="16">
        <v>45645</v>
      </c>
      <c r="H181" s="10" t="s">
        <v>46</v>
      </c>
      <c r="I181" s="37" t="str">
        <f>VLOOKUP(Tabla1[[#This Row],[Matricula nueva]],'[1]ALTA 20242025'!$B$1:$P$241,15,FALSE)</f>
        <v>4500426867</v>
      </c>
      <c r="J181" s="17" t="s">
        <v>47</v>
      </c>
      <c r="K181" s="1" t="s">
        <v>48</v>
      </c>
    </row>
    <row r="182" spans="1:11" ht="13.5" thickBot="1">
      <c r="A182" s="8" t="s">
        <v>281</v>
      </c>
      <c r="B182" s="8" t="s">
        <v>13</v>
      </c>
      <c r="C182" s="8" t="s">
        <v>14</v>
      </c>
      <c r="D182" s="8" t="s">
        <v>15</v>
      </c>
      <c r="E182" s="15" t="s">
        <v>156</v>
      </c>
      <c r="F182" s="18" t="s">
        <v>17</v>
      </c>
      <c r="G182" s="16">
        <v>45646</v>
      </c>
      <c r="H182" s="10" t="s">
        <v>58</v>
      </c>
      <c r="I182" s="37" t="str">
        <f>VLOOKUP(Tabla1[[#This Row],[Matricula nueva]],'[1]ALTA 20242025'!$B$1:$P$241,15,FALSE)</f>
        <v>4500426765</v>
      </c>
      <c r="J182" s="17" t="s">
        <v>59</v>
      </c>
      <c r="K182" s="1" t="s">
        <v>60</v>
      </c>
    </row>
    <row r="183" spans="1:11" ht="13.5" thickBot="1">
      <c r="A183" s="8" t="e">
        <v>#N/A</v>
      </c>
      <c r="B183" s="8" t="e">
        <v>#N/A</v>
      </c>
      <c r="C183" s="8" t="e">
        <v>#N/A</v>
      </c>
      <c r="D183" s="8" t="e">
        <v>#N/A</v>
      </c>
      <c r="E183" s="8" t="e">
        <v>#N/A</v>
      </c>
      <c r="F183" s="12" t="e">
        <v>#N/A</v>
      </c>
      <c r="G183" s="9" t="e">
        <v>#N/A</v>
      </c>
      <c r="H183" s="10" t="e">
        <v>#N/A</v>
      </c>
      <c r="I183" s="10" t="e">
        <f>VLOOKUP(Tabla1[[#This Row],[Matricula nueva]],'[1]ALTA 20242025'!$B$1:$P$241,15,FALSE)</f>
        <v>#N/A</v>
      </c>
      <c r="J183" s="11" t="e">
        <v>#N/A</v>
      </c>
    </row>
    <row r="184" spans="1:11" ht="13.5" thickBot="1">
      <c r="A184" s="8" t="e">
        <v>#N/A</v>
      </c>
      <c r="B184" s="8" t="e">
        <v>#N/A</v>
      </c>
      <c r="C184" s="8" t="e">
        <v>#N/A</v>
      </c>
      <c r="D184" s="8" t="e">
        <v>#N/A</v>
      </c>
      <c r="E184" s="8" t="e">
        <v>#N/A</v>
      </c>
      <c r="F184" s="13" t="e">
        <v>#N/A</v>
      </c>
      <c r="G184" s="9" t="e">
        <v>#N/A</v>
      </c>
      <c r="H184" s="10" t="e">
        <v>#N/A</v>
      </c>
      <c r="I184" s="10" t="e">
        <f>VLOOKUP(Tabla1[[#This Row],[Matricula nueva]],'[1]ALTA 20242025'!$B$1:$P$241,15,FALSE)</f>
        <v>#N/A</v>
      </c>
      <c r="J184" s="11" t="e">
        <v>#N/A</v>
      </c>
    </row>
    <row r="185" spans="1:11">
      <c r="A185" s="8" t="s">
        <v>282</v>
      </c>
      <c r="B185" s="8" t="s">
        <v>13</v>
      </c>
      <c r="C185" s="8" t="s">
        <v>14</v>
      </c>
      <c r="D185" s="8" t="s">
        <v>15</v>
      </c>
      <c r="E185" s="15" t="s">
        <v>283</v>
      </c>
      <c r="F185" s="19" t="s">
        <v>17</v>
      </c>
      <c r="G185" s="16">
        <v>45646</v>
      </c>
      <c r="H185" s="10" t="s">
        <v>58</v>
      </c>
      <c r="I185" s="37" t="str">
        <f>VLOOKUP(Tabla1[[#This Row],[Matricula nueva]],'[1]ALTA 20242025'!$B$1:$P$241,15,FALSE)</f>
        <v>4500428761</v>
      </c>
      <c r="J185" s="17" t="s">
        <v>59</v>
      </c>
      <c r="K185" s="1" t="s">
        <v>60</v>
      </c>
    </row>
    <row r="186" spans="1:11" ht="13.5" thickBot="1">
      <c r="A186" s="8" t="s">
        <v>284</v>
      </c>
      <c r="B186" s="8" t="s">
        <v>13</v>
      </c>
      <c r="C186" s="8" t="s">
        <v>14</v>
      </c>
      <c r="D186" s="8" t="s">
        <v>15</v>
      </c>
      <c r="E186" s="15" t="s">
        <v>285</v>
      </c>
      <c r="F186" s="18" t="s">
        <v>17</v>
      </c>
      <c r="G186" s="16">
        <v>45645</v>
      </c>
      <c r="H186" s="10" t="s">
        <v>286</v>
      </c>
      <c r="I186" s="37" t="str">
        <f>VLOOKUP(Tabla1[[#This Row],[Matricula nueva]],'[1]ALTA 20242025'!$B$1:$P$241,15,FALSE)</f>
        <v>4500426871</v>
      </c>
      <c r="J186" s="17" t="s">
        <v>287</v>
      </c>
      <c r="K186" s="1" t="s">
        <v>288</v>
      </c>
    </row>
    <row r="187" spans="1:11" ht="13.5" thickBot="1">
      <c r="A187" s="8" t="e">
        <v>#N/A</v>
      </c>
      <c r="B187" s="8" t="e">
        <v>#N/A</v>
      </c>
      <c r="C187" s="8" t="e">
        <v>#N/A</v>
      </c>
      <c r="D187" s="8" t="e">
        <v>#N/A</v>
      </c>
      <c r="E187" s="8" t="e">
        <v>#N/A</v>
      </c>
      <c r="F187" s="12" t="e">
        <v>#N/A</v>
      </c>
      <c r="G187" s="9" t="e">
        <v>#N/A</v>
      </c>
      <c r="H187" s="10" t="e">
        <v>#N/A</v>
      </c>
      <c r="I187" s="10" t="e">
        <f>VLOOKUP(Tabla1[[#This Row],[Matricula nueva]],'[1]ALTA 20242025'!$B$1:$P$241,15,FALSE)</f>
        <v>#N/A</v>
      </c>
      <c r="J187" s="11" t="e">
        <v>#N/A</v>
      </c>
    </row>
    <row r="188" spans="1:11" ht="13.5" thickBot="1">
      <c r="A188" s="8" t="e">
        <v>#N/A</v>
      </c>
      <c r="B188" s="8" t="e">
        <v>#N/A</v>
      </c>
      <c r="C188" s="8" t="e">
        <v>#N/A</v>
      </c>
      <c r="D188" s="8" t="e">
        <v>#N/A</v>
      </c>
      <c r="E188" s="8" t="e">
        <v>#N/A</v>
      </c>
      <c r="F188" s="9" t="e">
        <v>#N/A</v>
      </c>
      <c r="G188" s="9" t="e">
        <v>#N/A</v>
      </c>
      <c r="H188" s="10" t="e">
        <v>#N/A</v>
      </c>
      <c r="I188" s="10" t="e">
        <f>VLOOKUP(Tabla1[[#This Row],[Matricula nueva]],'[1]ALTA 20242025'!$B$1:$P$241,15,FALSE)</f>
        <v>#N/A</v>
      </c>
      <c r="J188" s="11" t="e">
        <v>#N/A</v>
      </c>
    </row>
    <row r="189" spans="1:11" ht="13.5" thickBot="1">
      <c r="A189" s="8" t="e">
        <v>#N/A</v>
      </c>
      <c r="B189" s="8" t="e">
        <v>#N/A</v>
      </c>
      <c r="C189" s="8" t="e">
        <v>#N/A</v>
      </c>
      <c r="D189" s="8" t="e">
        <v>#N/A</v>
      </c>
      <c r="E189" s="8" t="e">
        <v>#N/A</v>
      </c>
      <c r="F189" s="9" t="e">
        <v>#N/A</v>
      </c>
      <c r="G189" s="9" t="e">
        <v>#N/A</v>
      </c>
      <c r="H189" s="10" t="e">
        <v>#N/A</v>
      </c>
      <c r="I189" s="10" t="e">
        <f>VLOOKUP(Tabla1[[#This Row],[Matricula nueva]],'[1]ALTA 20242025'!$B$1:$P$241,15,FALSE)</f>
        <v>#N/A</v>
      </c>
      <c r="J189" s="11" t="e">
        <v>#N/A</v>
      </c>
    </row>
    <row r="190" spans="1:11" ht="13.5" thickBot="1">
      <c r="A190" s="8" t="e">
        <v>#N/A</v>
      </c>
      <c r="B190" s="8" t="e">
        <v>#N/A</v>
      </c>
      <c r="C190" s="8" t="e">
        <v>#N/A</v>
      </c>
      <c r="D190" s="8" t="e">
        <v>#N/A</v>
      </c>
      <c r="E190" s="8" t="e">
        <v>#N/A</v>
      </c>
      <c r="F190" s="9" t="e">
        <v>#N/A</v>
      </c>
      <c r="G190" s="9" t="e">
        <v>#N/A</v>
      </c>
      <c r="H190" s="10" t="e">
        <v>#N/A</v>
      </c>
      <c r="I190" s="10" t="e">
        <f>VLOOKUP(Tabla1[[#This Row],[Matricula nueva]],'[1]ALTA 20242025'!$B$1:$P$241,15,FALSE)</f>
        <v>#N/A</v>
      </c>
      <c r="J190" s="11" t="e">
        <v>#N/A</v>
      </c>
    </row>
    <row r="191" spans="1:11" ht="13.5" thickBot="1">
      <c r="A191" s="8" t="e">
        <v>#N/A</v>
      </c>
      <c r="B191" s="8" t="e">
        <v>#N/A</v>
      </c>
      <c r="C191" s="8" t="e">
        <v>#N/A</v>
      </c>
      <c r="D191" s="8" t="e">
        <v>#N/A</v>
      </c>
      <c r="E191" s="8" t="e">
        <v>#N/A</v>
      </c>
      <c r="F191" s="9" t="e">
        <v>#N/A</v>
      </c>
      <c r="G191" s="9" t="e">
        <v>#N/A</v>
      </c>
      <c r="H191" s="10" t="e">
        <v>#N/A</v>
      </c>
      <c r="I191" s="10" t="e">
        <f>VLOOKUP(Tabla1[[#This Row],[Matricula nueva]],'[1]ALTA 20242025'!$B$1:$P$241,15,FALSE)</f>
        <v>#N/A</v>
      </c>
      <c r="J191" s="11" t="e">
        <v>#N/A</v>
      </c>
    </row>
    <row r="192" spans="1:11" ht="13.5" thickBot="1">
      <c r="A192" s="8" t="e">
        <v>#N/A</v>
      </c>
      <c r="B192" s="8" t="e">
        <v>#N/A</v>
      </c>
      <c r="C192" s="8" t="e">
        <v>#N/A</v>
      </c>
      <c r="D192" s="8" t="e">
        <v>#N/A</v>
      </c>
      <c r="E192" s="8" t="e">
        <v>#N/A</v>
      </c>
      <c r="F192" s="13" t="e">
        <v>#N/A</v>
      </c>
      <c r="G192" s="9" t="e">
        <v>#N/A</v>
      </c>
      <c r="H192" s="10" t="e">
        <v>#N/A</v>
      </c>
      <c r="I192" s="10" t="e">
        <f>VLOOKUP(Tabla1[[#This Row],[Matricula nueva]],'[1]ALTA 20242025'!$B$1:$P$241,15,FALSE)</f>
        <v>#N/A</v>
      </c>
      <c r="J192" s="11" t="e">
        <v>#N/A</v>
      </c>
    </row>
    <row r="193" spans="1:11">
      <c r="A193" s="8" t="s">
        <v>289</v>
      </c>
      <c r="B193" s="8" t="s">
        <v>13</v>
      </c>
      <c r="C193" s="8" t="s">
        <v>14</v>
      </c>
      <c r="D193" s="8" t="s">
        <v>15</v>
      </c>
      <c r="E193" s="15" t="s">
        <v>268</v>
      </c>
      <c r="F193" s="19" t="s">
        <v>17</v>
      </c>
      <c r="G193" s="16">
        <v>45649</v>
      </c>
      <c r="H193" s="10" t="s">
        <v>99</v>
      </c>
      <c r="I193" s="37" t="str">
        <f>VLOOKUP(Tabla1[[#This Row],[Matricula nueva]],'[1]ALTA 20242025'!$B$1:$P$241,15,FALSE)</f>
        <v>X</v>
      </c>
      <c r="J193" s="17" t="s">
        <v>100</v>
      </c>
    </row>
    <row r="194" spans="1:11">
      <c r="A194" s="8" t="s">
        <v>290</v>
      </c>
      <c r="B194" s="8" t="s">
        <v>13</v>
      </c>
      <c r="C194" s="8" t="s">
        <v>14</v>
      </c>
      <c r="D194" s="8" t="s">
        <v>15</v>
      </c>
      <c r="E194" s="15" t="s">
        <v>98</v>
      </c>
      <c r="F194" s="14" t="s">
        <v>17</v>
      </c>
      <c r="G194" s="16">
        <v>45649</v>
      </c>
      <c r="H194" s="10" t="s">
        <v>99</v>
      </c>
      <c r="I194" s="37" t="str">
        <f>VLOOKUP(Tabla1[[#This Row],[Matricula nueva]],'[1]ALTA 20242025'!$B$1:$P$241,15,FALSE)</f>
        <v>X</v>
      </c>
      <c r="J194" s="17" t="s">
        <v>100</v>
      </c>
    </row>
    <row r="195" spans="1:11">
      <c r="A195" s="8" t="s">
        <v>291</v>
      </c>
      <c r="B195" s="8" t="s">
        <v>13</v>
      </c>
      <c r="C195" s="8" t="s">
        <v>14</v>
      </c>
      <c r="D195" s="8" t="s">
        <v>15</v>
      </c>
      <c r="E195" s="15" t="s">
        <v>268</v>
      </c>
      <c r="F195" s="14" t="s">
        <v>17</v>
      </c>
      <c r="G195" s="16">
        <v>45649</v>
      </c>
      <c r="H195" s="10" t="s">
        <v>99</v>
      </c>
      <c r="I195" s="37" t="str">
        <f>VLOOKUP(Tabla1[[#This Row],[Matricula nueva]],'[1]ALTA 20242025'!$B$1:$P$241,15,FALSE)</f>
        <v>X</v>
      </c>
      <c r="J195" s="17" t="s">
        <v>100</v>
      </c>
    </row>
    <row r="196" spans="1:11">
      <c r="A196" s="8" t="s">
        <v>292</v>
      </c>
      <c r="B196" s="8" t="s">
        <v>13</v>
      </c>
      <c r="C196" s="8" t="s">
        <v>14</v>
      </c>
      <c r="D196" s="8" t="s">
        <v>15</v>
      </c>
      <c r="E196" s="15" t="s">
        <v>268</v>
      </c>
      <c r="F196" s="14" t="s">
        <v>17</v>
      </c>
      <c r="G196" s="16">
        <v>45649</v>
      </c>
      <c r="H196" s="10" t="s">
        <v>99</v>
      </c>
      <c r="I196" s="37" t="str">
        <f>VLOOKUP(Tabla1[[#This Row],[Matricula nueva]],'[1]ALTA 20242025'!$B$1:$P$241,15,FALSE)</f>
        <v>X</v>
      </c>
      <c r="J196" s="17" t="s">
        <v>100</v>
      </c>
    </row>
    <row r="197" spans="1:11">
      <c r="A197" s="8" t="s">
        <v>293</v>
      </c>
      <c r="B197" s="8" t="s">
        <v>13</v>
      </c>
      <c r="C197" s="8" t="s">
        <v>14</v>
      </c>
      <c r="D197" s="8" t="s">
        <v>15</v>
      </c>
      <c r="E197" s="15" t="s">
        <v>294</v>
      </c>
      <c r="F197" s="14" t="s">
        <v>17</v>
      </c>
      <c r="G197" s="16">
        <v>45653</v>
      </c>
      <c r="H197" s="10" t="s">
        <v>295</v>
      </c>
      <c r="I197" s="37" t="str">
        <f>VLOOKUP(Tabla1[[#This Row],[Matricula nueva]],'[1]ALTA 20242025'!$B$1:$P$241,15,FALSE)</f>
        <v>4500426843</v>
      </c>
      <c r="J197" s="17" t="s">
        <v>296</v>
      </c>
      <c r="K197" s="1" t="s">
        <v>297</v>
      </c>
    </row>
    <row r="198" spans="1:11" ht="13.5" thickBot="1">
      <c r="A198" s="8" t="s">
        <v>298</v>
      </c>
      <c r="B198" s="8" t="s">
        <v>13</v>
      </c>
      <c r="C198" s="8" t="s">
        <v>14</v>
      </c>
      <c r="D198" s="8" t="s">
        <v>15</v>
      </c>
      <c r="E198" s="15" t="s">
        <v>220</v>
      </c>
      <c r="F198" s="18" t="s">
        <v>17</v>
      </c>
      <c r="G198" s="16">
        <v>45625</v>
      </c>
      <c r="H198" s="10" t="s">
        <v>39</v>
      </c>
      <c r="I198" s="37" t="str">
        <f>VLOOKUP(Tabla1[[#This Row],[Matricula nueva]],'[1]ALTA 20242025'!$B$1:$P$241,15,FALSE)</f>
        <v>4500426782</v>
      </c>
      <c r="J198" s="17" t="s">
        <v>40</v>
      </c>
      <c r="K198" s="1" t="s">
        <v>41</v>
      </c>
    </row>
    <row r="199" spans="1:11" ht="13.5" thickBot="1">
      <c r="A199" s="8" t="e">
        <v>#N/A</v>
      </c>
      <c r="B199" s="8" t="e">
        <v>#N/A</v>
      </c>
      <c r="C199" s="8" t="e">
        <v>#N/A</v>
      </c>
      <c r="D199" s="8" t="e">
        <v>#N/A</v>
      </c>
      <c r="E199" s="8" t="e">
        <v>#N/A</v>
      </c>
      <c r="F199" s="7" t="e">
        <v>#N/A</v>
      </c>
      <c r="G199" s="9" t="e">
        <v>#N/A</v>
      </c>
      <c r="H199" s="10" t="e">
        <v>#N/A</v>
      </c>
      <c r="I199" s="10" t="e">
        <f>VLOOKUP(Tabla1[[#This Row],[Matricula nueva]],'[1]ALTA 20242025'!$B$1:$P$241,15,FALSE)</f>
        <v>#N/A</v>
      </c>
      <c r="J199" s="11" t="e">
        <v>#N/A</v>
      </c>
    </row>
    <row r="200" spans="1:11" ht="13.5" thickBot="1">
      <c r="A200" s="8" t="s">
        <v>299</v>
      </c>
      <c r="B200" s="8" t="s">
        <v>13</v>
      </c>
      <c r="C200" s="8" t="s">
        <v>14</v>
      </c>
      <c r="D200" s="8" t="s">
        <v>15</v>
      </c>
      <c r="E200" s="15" t="s">
        <v>220</v>
      </c>
      <c r="F200" s="20" t="s">
        <v>17</v>
      </c>
      <c r="G200" s="16">
        <v>45625</v>
      </c>
      <c r="H200" s="10" t="s">
        <v>39</v>
      </c>
      <c r="I200" s="37" t="str">
        <f>VLOOKUP(Tabla1[[#This Row],[Matricula nueva]],'[1]ALTA 20242025'!$B$1:$P$241,15,FALSE)</f>
        <v>4500426759</v>
      </c>
      <c r="J200" s="17" t="s">
        <v>40</v>
      </c>
      <c r="K200" s="1" t="s">
        <v>41</v>
      </c>
    </row>
    <row r="201" spans="1:11" ht="13.5" thickBot="1">
      <c r="A201" s="8" t="e">
        <v>#N/A</v>
      </c>
      <c r="B201" s="8" t="e">
        <v>#N/A</v>
      </c>
      <c r="C201" s="8" t="e">
        <v>#N/A</v>
      </c>
      <c r="D201" s="8" t="e">
        <v>#N/A</v>
      </c>
      <c r="E201" s="8" t="e">
        <v>#N/A</v>
      </c>
      <c r="F201" s="7" t="e">
        <v>#N/A</v>
      </c>
      <c r="G201" s="9" t="e">
        <v>#N/A</v>
      </c>
      <c r="H201" s="10" t="e">
        <v>#N/A</v>
      </c>
      <c r="I201" s="10" t="e">
        <f>VLOOKUP(Tabla1[[#This Row],[Matricula nueva]],'[1]ALTA 20242025'!$B$1:$P$241,15,FALSE)</f>
        <v>#N/A</v>
      </c>
      <c r="J201" s="11" t="e">
        <v>#N/A</v>
      </c>
    </row>
    <row r="202" spans="1:11">
      <c r="A202" s="8" t="s">
        <v>300</v>
      </c>
      <c r="B202" s="8" t="s">
        <v>13</v>
      </c>
      <c r="C202" s="8" t="s">
        <v>14</v>
      </c>
      <c r="D202" s="8" t="s">
        <v>15</v>
      </c>
      <c r="E202" s="15" t="s">
        <v>268</v>
      </c>
      <c r="F202" s="19" t="s">
        <v>17</v>
      </c>
      <c r="G202" s="16">
        <v>45652</v>
      </c>
      <c r="H202" s="10" t="s">
        <v>99</v>
      </c>
      <c r="I202" s="37" t="str">
        <f>VLOOKUP(Tabla1[[#This Row],[Matricula nueva]],'[1]ALTA 20242025'!$B$1:$P$241,15,FALSE)</f>
        <v>X</v>
      </c>
      <c r="J202" s="17" t="s">
        <v>100</v>
      </c>
    </row>
    <row r="203" spans="1:11">
      <c r="A203" s="8" t="s">
        <v>301</v>
      </c>
      <c r="B203" s="8" t="s">
        <v>179</v>
      </c>
      <c r="C203" s="8" t="s">
        <v>180</v>
      </c>
      <c r="D203" s="8" t="s">
        <v>15</v>
      </c>
      <c r="E203" s="15" t="s">
        <v>181</v>
      </c>
      <c r="F203" s="14" t="s">
        <v>32</v>
      </c>
      <c r="G203" s="16">
        <v>45051</v>
      </c>
      <c r="H203" s="10" t="s">
        <v>39</v>
      </c>
      <c r="I203" s="38">
        <v>4500352577</v>
      </c>
      <c r="J203" s="17" t="s">
        <v>40</v>
      </c>
      <c r="K203" s="1" t="s">
        <v>41</v>
      </c>
    </row>
    <row r="204" spans="1:11" ht="13.5" thickBot="1">
      <c r="A204" s="8" t="s">
        <v>302</v>
      </c>
      <c r="B204" s="8" t="s">
        <v>13</v>
      </c>
      <c r="C204" s="8" t="s">
        <v>30</v>
      </c>
      <c r="D204" s="8" t="s">
        <v>15</v>
      </c>
      <c r="E204" s="15" t="s">
        <v>193</v>
      </c>
      <c r="F204" s="18" t="s">
        <v>32</v>
      </c>
      <c r="G204" s="16">
        <v>44922</v>
      </c>
      <c r="H204" s="10" t="s">
        <v>39</v>
      </c>
      <c r="I204" s="38">
        <v>4500348763</v>
      </c>
      <c r="J204" s="17" t="s">
        <v>40</v>
      </c>
      <c r="K204" s="1" t="s">
        <v>41</v>
      </c>
    </row>
    <row r="205" spans="1:11" ht="13.5" thickBot="1">
      <c r="A205" s="8" t="e">
        <v>#N/A</v>
      </c>
      <c r="B205" s="8" t="e">
        <v>#N/A</v>
      </c>
      <c r="C205" s="8" t="e">
        <v>#N/A</v>
      </c>
      <c r="D205" s="8" t="e">
        <v>#N/A</v>
      </c>
      <c r="E205" s="8" t="e">
        <v>#N/A</v>
      </c>
      <c r="F205" s="7" t="e">
        <v>#N/A</v>
      </c>
      <c r="G205" s="9" t="e">
        <v>#N/A</v>
      </c>
      <c r="H205" s="10" t="e">
        <v>#N/A</v>
      </c>
      <c r="I205" s="10" t="e">
        <f>VLOOKUP(Tabla1[[#This Row],[Matricula nueva]],'[1]ALTA 20242025'!$B$1:$P$241,15,FALSE)</f>
        <v>#N/A</v>
      </c>
      <c r="J205" s="11" t="e">
        <v>#N/A</v>
      </c>
    </row>
    <row r="206" spans="1:11">
      <c r="A206" s="8" t="s">
        <v>303</v>
      </c>
      <c r="B206" s="8" t="s">
        <v>62</v>
      </c>
      <c r="C206" s="8" t="s">
        <v>63</v>
      </c>
      <c r="D206" s="8" t="s">
        <v>15</v>
      </c>
      <c r="E206" s="15" t="s">
        <v>123</v>
      </c>
      <c r="F206" s="19" t="s">
        <v>17</v>
      </c>
      <c r="G206" s="16">
        <v>45625</v>
      </c>
      <c r="H206" s="10" t="s">
        <v>26</v>
      </c>
      <c r="I206" s="37" t="str">
        <f>VLOOKUP(Tabla1[[#This Row],[Matricula nueva]],'[1]ALTA 20242025'!$B$1:$P$241,15,FALSE)</f>
        <v>4500424800</v>
      </c>
      <c r="J206" s="17" t="s">
        <v>27</v>
      </c>
      <c r="K206" s="1" t="s">
        <v>28</v>
      </c>
    </row>
    <row r="207" spans="1:11" ht="13.5" thickBot="1">
      <c r="A207" s="8" t="s">
        <v>304</v>
      </c>
      <c r="B207" s="8" t="s">
        <v>62</v>
      </c>
      <c r="C207" s="8" t="s">
        <v>63</v>
      </c>
      <c r="D207" s="8" t="s">
        <v>15</v>
      </c>
      <c r="E207" s="15" t="s">
        <v>305</v>
      </c>
      <c r="F207" s="18" t="s">
        <v>17</v>
      </c>
      <c r="G207" s="16">
        <v>45625</v>
      </c>
      <c r="H207" s="10" t="s">
        <v>26</v>
      </c>
      <c r="I207" s="37" t="str">
        <f>VLOOKUP(Tabla1[[#This Row],[Matricula nueva]],'[1]ALTA 20242025'!$B$1:$P$241,15,FALSE)</f>
        <v>4500424799</v>
      </c>
      <c r="J207" s="17" t="s">
        <v>27</v>
      </c>
      <c r="K207" s="1" t="s">
        <v>28</v>
      </c>
    </row>
    <row r="208" spans="1:11" ht="13.5" thickBot="1">
      <c r="A208" s="8" t="e">
        <v>#N/A</v>
      </c>
      <c r="B208" s="8" t="e">
        <v>#N/A</v>
      </c>
      <c r="C208" s="8" t="e">
        <v>#N/A</v>
      </c>
      <c r="D208" s="8" t="e">
        <v>#N/A</v>
      </c>
      <c r="E208" s="8" t="e">
        <v>#N/A</v>
      </c>
      <c r="F208" s="7" t="e">
        <v>#N/A</v>
      </c>
      <c r="G208" s="9" t="e">
        <v>#N/A</v>
      </c>
      <c r="H208" s="10" t="e">
        <v>#N/A</v>
      </c>
      <c r="I208" s="10" t="e">
        <f>VLOOKUP(Tabla1[[#This Row],[Matricula nueva]],'[1]ALTA 20242025'!$B$1:$P$241,15,FALSE)</f>
        <v>#N/A</v>
      </c>
      <c r="J208" s="11" t="e">
        <v>#N/A</v>
      </c>
    </row>
    <row r="209" spans="1:11">
      <c r="A209" s="8" t="s">
        <v>306</v>
      </c>
      <c r="B209" s="8" t="s">
        <v>13</v>
      </c>
      <c r="C209" s="8" t="s">
        <v>14</v>
      </c>
      <c r="D209" s="8" t="s">
        <v>15</v>
      </c>
      <c r="E209" s="15" t="s">
        <v>52</v>
      </c>
      <c r="F209" s="19" t="s">
        <v>17</v>
      </c>
      <c r="G209" s="16">
        <v>45652</v>
      </c>
      <c r="H209" s="10" t="s">
        <v>18</v>
      </c>
      <c r="I209" s="39" t="str">
        <f>VLOOKUP(Tabla1[[#This Row],[Matricula nueva]],'[1]ALTA 20242025'!$B$1:$P$241,15,FALSE)</f>
        <v>4500426842</v>
      </c>
      <c r="J209" s="11" t="s">
        <v>19</v>
      </c>
      <c r="K209" s="1" t="s">
        <v>20</v>
      </c>
    </row>
    <row r="210" spans="1:11" ht="13.5" thickBot="1">
      <c r="A210" s="8" t="s">
        <v>307</v>
      </c>
      <c r="B210" s="8" t="s">
        <v>62</v>
      </c>
      <c r="C210" s="8" t="s">
        <v>63</v>
      </c>
      <c r="D210" s="8" t="s">
        <v>15</v>
      </c>
      <c r="E210" s="15" t="s">
        <v>308</v>
      </c>
      <c r="F210" s="18" t="s">
        <v>17</v>
      </c>
      <c r="G210" s="16">
        <v>45622</v>
      </c>
      <c r="H210" s="10" t="s">
        <v>46</v>
      </c>
      <c r="I210" s="37" t="str">
        <f>VLOOKUP(Tabla1[[#This Row],[Matricula nueva]],'[1]ALTA 20242025'!$B$1:$P$241,15,FALSE)</f>
        <v>4500424788</v>
      </c>
      <c r="J210" s="17" t="s">
        <v>47</v>
      </c>
      <c r="K210" s="1" t="s">
        <v>48</v>
      </c>
    </row>
    <row r="211" spans="1:11" ht="13.5" thickBot="1">
      <c r="A211" s="8" t="e">
        <v>#N/A</v>
      </c>
      <c r="B211" s="8" t="e">
        <v>#N/A</v>
      </c>
      <c r="C211" s="8" t="e">
        <v>#N/A</v>
      </c>
      <c r="D211" s="8" t="e">
        <v>#N/A</v>
      </c>
      <c r="E211" s="8" t="e">
        <v>#N/A</v>
      </c>
      <c r="F211" s="12" t="e">
        <v>#N/A</v>
      </c>
      <c r="G211" s="9" t="e">
        <v>#N/A</v>
      </c>
      <c r="H211" s="10" t="e">
        <v>#N/A</v>
      </c>
      <c r="I211" s="10" t="e">
        <f>VLOOKUP(Tabla1[[#This Row],[Matricula nueva]],'[1]ALTA 20242025'!$B$1:$P$241,15,FALSE)</f>
        <v>#N/A</v>
      </c>
      <c r="J211" s="11" t="e">
        <v>#N/A</v>
      </c>
    </row>
    <row r="212" spans="1:11" ht="13.5" thickBot="1">
      <c r="A212" s="8" t="e">
        <v>#N/A</v>
      </c>
      <c r="B212" s="8" t="e">
        <v>#N/A</v>
      </c>
      <c r="C212" s="8" t="e">
        <v>#N/A</v>
      </c>
      <c r="D212" s="8" t="e">
        <v>#N/A</v>
      </c>
      <c r="E212" s="8" t="e">
        <v>#N/A</v>
      </c>
      <c r="F212" s="9" t="e">
        <v>#N/A</v>
      </c>
      <c r="G212" s="9" t="e">
        <v>#N/A</v>
      </c>
      <c r="H212" s="10" t="e">
        <v>#N/A</v>
      </c>
      <c r="I212" s="10" t="e">
        <f>VLOOKUP(Tabla1[[#This Row],[Matricula nueva]],'[1]ALTA 20242025'!$B$1:$P$241,15,FALSE)</f>
        <v>#N/A</v>
      </c>
      <c r="J212" s="11" t="e">
        <v>#N/A</v>
      </c>
    </row>
    <row r="213" spans="1:11" ht="13.5" thickBot="1">
      <c r="A213" s="8" t="e">
        <v>#N/A</v>
      </c>
      <c r="B213" s="8" t="e">
        <v>#N/A</v>
      </c>
      <c r="C213" s="8" t="e">
        <v>#N/A</v>
      </c>
      <c r="D213" s="8" t="e">
        <v>#N/A</v>
      </c>
      <c r="E213" s="8" t="e">
        <v>#N/A</v>
      </c>
      <c r="F213" s="13" t="e">
        <v>#N/A</v>
      </c>
      <c r="G213" s="9" t="e">
        <v>#N/A</v>
      </c>
      <c r="H213" s="10" t="e">
        <v>#N/A</v>
      </c>
      <c r="I213" s="10" t="e">
        <f>VLOOKUP(Tabla1[[#This Row],[Matricula nueva]],'[1]ALTA 20242025'!$B$1:$P$241,15,FALSE)</f>
        <v>#N/A</v>
      </c>
      <c r="J213" s="11" t="e">
        <v>#N/A</v>
      </c>
    </row>
    <row r="214" spans="1:11" ht="13.5" thickBot="1">
      <c r="A214" s="8" t="s">
        <v>309</v>
      </c>
      <c r="B214" s="8" t="s">
        <v>13</v>
      </c>
      <c r="C214" s="8" t="s">
        <v>14</v>
      </c>
      <c r="D214" s="8" t="s">
        <v>15</v>
      </c>
      <c r="E214" s="15" t="s">
        <v>121</v>
      </c>
      <c r="F214" s="20" t="s">
        <v>17</v>
      </c>
      <c r="G214" s="16">
        <v>45645</v>
      </c>
      <c r="H214" s="10" t="s">
        <v>46</v>
      </c>
      <c r="I214" s="37" t="str">
        <f>VLOOKUP(Tabla1[[#This Row],[Matricula nueva]],'[1]ALTA 20242025'!$B$1:$P$241,15,FALSE)</f>
        <v>4500426793</v>
      </c>
      <c r="J214" s="17" t="s">
        <v>47</v>
      </c>
      <c r="K214" s="1" t="s">
        <v>48</v>
      </c>
    </row>
    <row r="215" spans="1:11" ht="13.5" thickBot="1">
      <c r="A215" s="8" t="e">
        <v>#N/A</v>
      </c>
      <c r="B215" s="8" t="e">
        <v>#N/A</v>
      </c>
      <c r="C215" s="8" t="e">
        <v>#N/A</v>
      </c>
      <c r="D215" s="8" t="e">
        <v>#N/A</v>
      </c>
      <c r="E215" s="8" t="e">
        <v>#N/A</v>
      </c>
      <c r="F215" s="7" t="e">
        <v>#N/A</v>
      </c>
      <c r="G215" s="9" t="e">
        <v>#N/A</v>
      </c>
      <c r="H215" s="10" t="e">
        <v>#N/A</v>
      </c>
      <c r="I215" s="10" t="e">
        <f>VLOOKUP(Tabla1[[#This Row],[Matricula nueva]],'[1]ALTA 20242025'!$B$1:$P$241,15,FALSE)</f>
        <v>#N/A</v>
      </c>
      <c r="J215" s="11" t="e">
        <v>#N/A</v>
      </c>
    </row>
    <row r="216" spans="1:11" ht="13.5" thickBot="1">
      <c r="A216" s="8" t="s">
        <v>310</v>
      </c>
      <c r="B216" s="8" t="s">
        <v>13</v>
      </c>
      <c r="C216" s="8" t="s">
        <v>14</v>
      </c>
      <c r="D216" s="8" t="s">
        <v>15</v>
      </c>
      <c r="E216" s="15" t="s">
        <v>311</v>
      </c>
      <c r="F216" s="20" t="s">
        <v>170</v>
      </c>
      <c r="G216" s="16">
        <v>45671</v>
      </c>
      <c r="H216" s="10" t="s">
        <v>312</v>
      </c>
      <c r="I216" s="37" t="str">
        <f>VLOOKUP(Tabla1[[#This Row],[Matricula nueva]],'[1]ALTA 20242025'!$B$1:$P$241,15,FALSE)</f>
        <v>4500426789</v>
      </c>
      <c r="J216" s="17" t="s">
        <v>313</v>
      </c>
      <c r="K216" s="1" t="s">
        <v>314</v>
      </c>
    </row>
    <row r="217" spans="1:11" ht="13.5" thickBot="1">
      <c r="A217" s="8" t="e">
        <v>#N/A</v>
      </c>
      <c r="B217" s="8" t="e">
        <v>#N/A</v>
      </c>
      <c r="C217" s="8" t="e">
        <v>#N/A</v>
      </c>
      <c r="D217" s="8" t="e">
        <v>#N/A</v>
      </c>
      <c r="E217" s="8" t="e">
        <v>#N/A</v>
      </c>
      <c r="F217" s="12" t="e">
        <v>#N/A</v>
      </c>
      <c r="G217" s="9" t="e">
        <v>#N/A</v>
      </c>
      <c r="H217" s="10" t="e">
        <v>#N/A</v>
      </c>
      <c r="I217" s="10" t="e">
        <f>VLOOKUP(Tabla1[[#This Row],[Matricula nueva]],'[1]ALTA 20242025'!$B$1:$P$241,15,FALSE)</f>
        <v>#N/A</v>
      </c>
      <c r="J217" s="11" t="e">
        <v>#N/A</v>
      </c>
    </row>
    <row r="218" spans="1:11" ht="13.5" thickBot="1">
      <c r="A218" s="8" t="e">
        <v>#N/A</v>
      </c>
      <c r="B218" s="8" t="e">
        <v>#N/A</v>
      </c>
      <c r="C218" s="8" t="e">
        <v>#N/A</v>
      </c>
      <c r="D218" s="8" t="e">
        <v>#N/A</v>
      </c>
      <c r="E218" s="8" t="e">
        <v>#N/A</v>
      </c>
      <c r="F218" s="13" t="e">
        <v>#N/A</v>
      </c>
      <c r="G218" s="9" t="e">
        <v>#N/A</v>
      </c>
      <c r="H218" s="10" t="e">
        <v>#N/A</v>
      </c>
      <c r="I218" s="10" t="e">
        <f>VLOOKUP(Tabla1[[#This Row],[Matricula nueva]],'[1]ALTA 20242025'!$B$1:$P$241,15,FALSE)</f>
        <v>#N/A</v>
      </c>
      <c r="J218" s="11" t="e">
        <v>#N/A</v>
      </c>
    </row>
    <row r="219" spans="1:11" ht="13.5" thickBot="1">
      <c r="A219" s="8" t="s">
        <v>315</v>
      </c>
      <c r="B219" s="8" t="s">
        <v>13</v>
      </c>
      <c r="C219" s="8" t="s">
        <v>14</v>
      </c>
      <c r="D219" s="8" t="s">
        <v>15</v>
      </c>
      <c r="E219" s="15" t="s">
        <v>311</v>
      </c>
      <c r="F219" s="20" t="s">
        <v>170</v>
      </c>
      <c r="G219" s="16">
        <v>45671</v>
      </c>
      <c r="H219" s="10" t="s">
        <v>312</v>
      </c>
      <c r="I219" s="37" t="str">
        <f>VLOOKUP(Tabla1[[#This Row],[Matricula nueva]],'[1]ALTA 20242025'!$B$1:$P$241,15,FALSE)</f>
        <v>4500426778</v>
      </c>
      <c r="J219" s="17" t="s">
        <v>313</v>
      </c>
      <c r="K219" s="1" t="s">
        <v>314</v>
      </c>
    </row>
    <row r="220" spans="1:11" ht="13.5" thickBot="1">
      <c r="A220" s="8" t="e">
        <v>#N/A</v>
      </c>
      <c r="B220" s="8" t="e">
        <v>#N/A</v>
      </c>
      <c r="C220" s="8" t="e">
        <v>#N/A</v>
      </c>
      <c r="D220" s="8" t="e">
        <v>#N/A</v>
      </c>
      <c r="E220" s="8" t="e">
        <v>#N/A</v>
      </c>
      <c r="F220" s="12" t="e">
        <v>#N/A</v>
      </c>
      <c r="G220" s="9" t="e">
        <v>#N/A</v>
      </c>
      <c r="H220" s="10" t="e">
        <v>#N/A</v>
      </c>
      <c r="I220" s="10" t="e">
        <f>VLOOKUP(Tabla1[[#This Row],[Matricula nueva]],'[1]ALTA 20242025'!$B$1:$P$241,15,FALSE)</f>
        <v>#N/A</v>
      </c>
      <c r="J220" s="11" t="e">
        <v>#N/A</v>
      </c>
    </row>
    <row r="221" spans="1:11" ht="13.5" thickBot="1">
      <c r="A221" s="8" t="e">
        <v>#N/A</v>
      </c>
      <c r="B221" s="8" t="e">
        <v>#N/A</v>
      </c>
      <c r="C221" s="8" t="e">
        <v>#N/A</v>
      </c>
      <c r="D221" s="8" t="e">
        <v>#N/A</v>
      </c>
      <c r="E221" s="8" t="e">
        <v>#N/A</v>
      </c>
      <c r="F221" s="9" t="e">
        <v>#N/A</v>
      </c>
      <c r="G221" s="9" t="e">
        <v>#N/A</v>
      </c>
      <c r="H221" s="10" t="e">
        <v>#N/A</v>
      </c>
      <c r="I221" s="10" t="e">
        <f>VLOOKUP(Tabla1[[#This Row],[Matricula nueva]],'[1]ALTA 20242025'!$B$1:$P$241,15,FALSE)</f>
        <v>#N/A</v>
      </c>
      <c r="J221" s="11" t="e">
        <v>#N/A</v>
      </c>
    </row>
    <row r="222" spans="1:11" ht="13.5" thickBot="1">
      <c r="A222" s="8" t="e">
        <v>#N/A</v>
      </c>
      <c r="B222" s="8" t="e">
        <v>#N/A</v>
      </c>
      <c r="C222" s="8" t="e">
        <v>#N/A</v>
      </c>
      <c r="D222" s="8" t="e">
        <v>#N/A</v>
      </c>
      <c r="E222" s="8" t="e">
        <v>#N/A</v>
      </c>
      <c r="F222" s="9" t="e">
        <v>#N/A</v>
      </c>
      <c r="G222" s="9" t="e">
        <v>#N/A</v>
      </c>
      <c r="H222" s="10" t="e">
        <v>#N/A</v>
      </c>
      <c r="I222" s="10" t="e">
        <f>VLOOKUP(Tabla1[[#This Row],[Matricula nueva]],'[1]ALTA 20242025'!$B$1:$P$241,15,FALSE)</f>
        <v>#N/A</v>
      </c>
      <c r="J222" s="11" t="e">
        <v>#N/A</v>
      </c>
    </row>
    <row r="223" spans="1:11" ht="13.5" thickBot="1">
      <c r="A223" s="8" t="e">
        <v>#N/A</v>
      </c>
      <c r="B223" s="8" t="e">
        <v>#N/A</v>
      </c>
      <c r="C223" s="8" t="e">
        <v>#N/A</v>
      </c>
      <c r="D223" s="8" t="e">
        <v>#N/A</v>
      </c>
      <c r="E223" s="8" t="e">
        <v>#N/A</v>
      </c>
      <c r="F223" s="9" t="e">
        <v>#N/A</v>
      </c>
      <c r="G223" s="9" t="e">
        <v>#N/A</v>
      </c>
      <c r="H223" s="10" t="e">
        <v>#N/A</v>
      </c>
      <c r="I223" s="10" t="e">
        <f>VLOOKUP(Tabla1[[#This Row],[Matricula nueva]],'[1]ALTA 20242025'!$B$1:$P$241,15,FALSE)</f>
        <v>#N/A</v>
      </c>
      <c r="J223" s="11" t="e">
        <v>#N/A</v>
      </c>
    </row>
    <row r="224" spans="1:11" ht="13.5" thickBot="1">
      <c r="A224" s="8" t="e">
        <v>#N/A</v>
      </c>
      <c r="B224" s="8" t="e">
        <v>#N/A</v>
      </c>
      <c r="C224" s="8" t="e">
        <v>#N/A</v>
      </c>
      <c r="D224" s="8" t="e">
        <v>#N/A</v>
      </c>
      <c r="E224" s="8" t="e">
        <v>#N/A</v>
      </c>
      <c r="F224" s="9" t="e">
        <v>#N/A</v>
      </c>
      <c r="G224" s="9" t="e">
        <v>#N/A</v>
      </c>
      <c r="H224" s="10" t="e">
        <v>#N/A</v>
      </c>
      <c r="I224" s="10" t="e">
        <f>VLOOKUP(Tabla1[[#This Row],[Matricula nueva]],'[1]ALTA 20242025'!$B$1:$P$241,15,FALSE)</f>
        <v>#N/A</v>
      </c>
      <c r="J224" s="11" t="e">
        <v>#N/A</v>
      </c>
    </row>
    <row r="225" spans="1:11" ht="13.5" thickBot="1">
      <c r="A225" s="8" t="e">
        <v>#N/A</v>
      </c>
      <c r="B225" s="8" t="e">
        <v>#N/A</v>
      </c>
      <c r="C225" s="8" t="e">
        <v>#N/A</v>
      </c>
      <c r="D225" s="8" t="e">
        <v>#N/A</v>
      </c>
      <c r="E225" s="8" t="e">
        <v>#N/A</v>
      </c>
      <c r="F225" s="9" t="e">
        <v>#N/A</v>
      </c>
      <c r="G225" s="9" t="e">
        <v>#N/A</v>
      </c>
      <c r="H225" s="10" t="e">
        <v>#N/A</v>
      </c>
      <c r="I225" s="10" t="e">
        <f>VLOOKUP(Tabla1[[#This Row],[Matricula nueva]],'[1]ALTA 20242025'!$B$1:$P$241,15,FALSE)</f>
        <v>#N/A</v>
      </c>
      <c r="J225" s="11" t="e">
        <v>#N/A</v>
      </c>
    </row>
    <row r="226" spans="1:11" ht="13.5" thickBot="1">
      <c r="A226" s="21" t="e">
        <v>#N/A</v>
      </c>
      <c r="B226" s="21" t="e">
        <v>#N/A</v>
      </c>
      <c r="C226" s="21" t="e">
        <v>#N/A</v>
      </c>
      <c r="D226" s="21" t="e">
        <v>#N/A</v>
      </c>
      <c r="E226" s="8" t="e">
        <v>#N/A</v>
      </c>
      <c r="F226" s="13" t="e">
        <v>#N/A</v>
      </c>
      <c r="G226" s="13" t="e">
        <v>#N/A</v>
      </c>
      <c r="H226" s="22" t="e">
        <v>#N/A</v>
      </c>
      <c r="I226" s="22" t="e">
        <f>VLOOKUP(Tabla1[[#This Row],[Matricula nueva]],'[1]ALTA 20242025'!$B$1:$P$241,15,FALSE)</f>
        <v>#N/A</v>
      </c>
      <c r="J226" s="23" t="e">
        <v>#N/A</v>
      </c>
    </row>
    <row r="227" spans="1:11">
      <c r="A227" s="24" t="s">
        <v>316</v>
      </c>
      <c r="B227" s="24" t="s">
        <v>13</v>
      </c>
      <c r="C227" s="24" t="s">
        <v>14</v>
      </c>
      <c r="D227" s="24" t="s">
        <v>15</v>
      </c>
      <c r="E227" s="25" t="s">
        <v>311</v>
      </c>
      <c r="F227" s="26" t="s">
        <v>170</v>
      </c>
      <c r="G227" s="27">
        <v>45671</v>
      </c>
      <c r="H227" s="28" t="s">
        <v>312</v>
      </c>
      <c r="I227" s="40" t="str">
        <f>VLOOKUP(Tabla1[[#This Row],[Matricula nueva]],'[1]ALTA 20242025'!$B$1:$P$241,15,FALSE)</f>
        <v>4500426764</v>
      </c>
      <c r="J227" s="29" t="s">
        <v>313</v>
      </c>
      <c r="K227" s="1" t="s">
        <v>314</v>
      </c>
    </row>
    <row r="228" spans="1:11" ht="13.5" thickBot="1">
      <c r="A228" s="24" t="s">
        <v>317</v>
      </c>
      <c r="B228" s="24" t="s">
        <v>62</v>
      </c>
      <c r="C228" s="24" t="s">
        <v>63</v>
      </c>
      <c r="D228" s="24" t="s">
        <v>15</v>
      </c>
      <c r="E228" s="25" t="s">
        <v>318</v>
      </c>
      <c r="F228" s="30" t="s">
        <v>17</v>
      </c>
      <c r="G228" s="27">
        <v>45637</v>
      </c>
      <c r="H228" s="28" t="s">
        <v>65</v>
      </c>
      <c r="I228" s="40" t="str">
        <f>VLOOKUP(Tabla1[[#This Row],[Matricula nueva]],'[1]ALTA 20242025'!$B$1:$P$241,15,FALSE)</f>
        <v>4500424895</v>
      </c>
      <c r="J228" s="29" t="s">
        <v>66</v>
      </c>
      <c r="K228" s="1" t="s">
        <v>67</v>
      </c>
    </row>
    <row r="229" spans="1:11" ht="13.5" thickBot="1">
      <c r="A229" s="31" t="e">
        <v>#N/A</v>
      </c>
      <c r="B229" s="31" t="e">
        <v>#N/A</v>
      </c>
      <c r="C229" s="31" t="e">
        <v>#N/A</v>
      </c>
      <c r="D229" s="31" t="e">
        <v>#N/A</v>
      </c>
      <c r="E229" s="8" t="e">
        <v>#N/A</v>
      </c>
      <c r="F229" s="12" t="e">
        <v>#N/A</v>
      </c>
      <c r="G229" s="12" t="e">
        <v>#N/A</v>
      </c>
      <c r="H229" s="32" t="e">
        <v>#N/A</v>
      </c>
      <c r="I229" s="32" t="e">
        <f>VLOOKUP(Tabla1[[#This Row],[Matricula nueva]],'[1]ALTA 20242025'!$B$1:$P$241,15,FALSE)</f>
        <v>#N/A</v>
      </c>
      <c r="J229" s="33" t="e">
        <v>#N/A</v>
      </c>
    </row>
    <row r="230" spans="1:11" ht="13.5" thickBot="1">
      <c r="A230" s="8" t="e">
        <v>#N/A</v>
      </c>
      <c r="B230" s="8" t="e">
        <v>#N/A</v>
      </c>
      <c r="C230" s="8" t="e">
        <v>#N/A</v>
      </c>
      <c r="D230" s="8" t="e">
        <v>#N/A</v>
      </c>
      <c r="E230" s="8" t="e">
        <v>#N/A</v>
      </c>
      <c r="F230" s="13" t="e">
        <v>#N/A</v>
      </c>
      <c r="G230" s="9" t="e">
        <v>#N/A</v>
      </c>
      <c r="H230" s="10" t="e">
        <v>#N/A</v>
      </c>
      <c r="I230" s="10" t="e">
        <f>VLOOKUP(Tabla1[[#This Row],[Matricula nueva]],'[1]ALTA 20242025'!$B$1:$P$241,15,FALSE)</f>
        <v>#N/A</v>
      </c>
      <c r="J230" s="11" t="e">
        <v>#N/A</v>
      </c>
    </row>
    <row r="231" spans="1:11" ht="13.5" thickBot="1">
      <c r="A231" s="8" t="s">
        <v>319</v>
      </c>
      <c r="B231" s="8" t="s">
        <v>62</v>
      </c>
      <c r="C231" s="8" t="s">
        <v>63</v>
      </c>
      <c r="D231" s="8" t="s">
        <v>15</v>
      </c>
      <c r="E231" s="15" t="s">
        <v>119</v>
      </c>
      <c r="F231" s="20" t="s">
        <v>17</v>
      </c>
      <c r="G231" s="16">
        <v>45625</v>
      </c>
      <c r="H231" s="10" t="s">
        <v>103</v>
      </c>
      <c r="I231" s="39" t="str">
        <f>VLOOKUP(Tabla1[[#This Row],[Matricula nueva]],'[1]ALTA 20242025'!$B$1:$P$241,15,FALSE)</f>
        <v>4500426702</v>
      </c>
      <c r="J231" s="11" t="s">
        <v>104</v>
      </c>
      <c r="K231" s="1" t="s">
        <v>105</v>
      </c>
    </row>
    <row r="232" spans="1:11" ht="13.5" thickBot="1">
      <c r="A232" s="8" t="e">
        <v>#N/A</v>
      </c>
      <c r="B232" s="8" t="e">
        <v>#N/A</v>
      </c>
      <c r="C232" s="8" t="e">
        <v>#N/A</v>
      </c>
      <c r="D232" s="8" t="e">
        <v>#N/A</v>
      </c>
      <c r="E232" s="8" t="e">
        <v>#N/A</v>
      </c>
      <c r="F232" s="12" t="e">
        <v>#N/A</v>
      </c>
      <c r="G232" s="9" t="e">
        <v>#N/A</v>
      </c>
      <c r="H232" s="10" t="e">
        <v>#N/A</v>
      </c>
      <c r="I232" s="10" t="e">
        <f>VLOOKUP(Tabla1[[#This Row],[Matricula nueva]],'[1]ALTA 20242025'!$B$1:$P$241,15,FALSE)</f>
        <v>#N/A</v>
      </c>
      <c r="J232" s="11" t="e">
        <v>#N/A</v>
      </c>
    </row>
    <row r="233" spans="1:11" ht="13.5" thickBot="1">
      <c r="A233" s="8" t="e">
        <v>#N/A</v>
      </c>
      <c r="B233" s="8" t="e">
        <v>#N/A</v>
      </c>
      <c r="C233" s="8" t="e">
        <v>#N/A</v>
      </c>
      <c r="D233" s="8" t="e">
        <v>#N/A</v>
      </c>
      <c r="E233" s="8" t="e">
        <v>#N/A</v>
      </c>
      <c r="F233" s="13" t="e">
        <v>#N/A</v>
      </c>
      <c r="G233" s="9" t="e">
        <v>#N/A</v>
      </c>
      <c r="H233" s="10" t="e">
        <v>#N/A</v>
      </c>
      <c r="I233" s="10" t="e">
        <f>VLOOKUP(Tabla1[[#This Row],[Matricula nueva]],'[1]ALTA 20242025'!$B$1:$P$241,15,FALSE)</f>
        <v>#N/A</v>
      </c>
      <c r="J233" s="11" t="e">
        <v>#N/A</v>
      </c>
    </row>
    <row r="234" spans="1:11">
      <c r="A234" s="8" t="s">
        <v>320</v>
      </c>
      <c r="B234" s="8" t="s">
        <v>62</v>
      </c>
      <c r="C234" s="8" t="s">
        <v>63</v>
      </c>
      <c r="D234" s="8" t="s">
        <v>15</v>
      </c>
      <c r="E234" s="15" t="s">
        <v>238</v>
      </c>
      <c r="F234" s="19" t="s">
        <v>17</v>
      </c>
      <c r="G234" s="16">
        <v>45622</v>
      </c>
      <c r="H234" s="10" t="s">
        <v>46</v>
      </c>
      <c r="I234" s="39" t="str">
        <f>VLOOKUP(Tabla1[[#This Row],[Matricula nueva]],'[1]ALTA 20242025'!$B$1:$P$241,15,FALSE)</f>
        <v>4500424811</v>
      </c>
      <c r="J234" s="11" t="s">
        <v>47</v>
      </c>
      <c r="K234" s="1" t="s">
        <v>48</v>
      </c>
    </row>
    <row r="235" spans="1:11" ht="13.5" thickBot="1">
      <c r="A235" s="8" t="s">
        <v>321</v>
      </c>
      <c r="B235" s="8" t="s">
        <v>13</v>
      </c>
      <c r="C235" s="8" t="s">
        <v>14</v>
      </c>
      <c r="D235" s="8" t="s">
        <v>15</v>
      </c>
      <c r="E235" s="15" t="s">
        <v>102</v>
      </c>
      <c r="F235" s="18" t="s">
        <v>17</v>
      </c>
      <c r="G235" s="16">
        <v>45625</v>
      </c>
      <c r="H235" s="10" t="s">
        <v>103</v>
      </c>
      <c r="I235" s="39" t="str">
        <f>VLOOKUP(Tabla1[[#This Row],[Matricula nueva]],'[1]ALTA 20242025'!$B$1:$P$241,15,FALSE)</f>
        <v>4500426799</v>
      </c>
      <c r="J235" s="11" t="s">
        <v>104</v>
      </c>
      <c r="K235" s="1" t="s">
        <v>105</v>
      </c>
    </row>
    <row r="236" spans="1:11" ht="13.5" thickBot="1">
      <c r="A236" s="8" t="e">
        <v>#N/A</v>
      </c>
      <c r="B236" s="8" t="e">
        <v>#N/A</v>
      </c>
      <c r="C236" s="8" t="e">
        <v>#N/A</v>
      </c>
      <c r="D236" s="8" t="e">
        <v>#N/A</v>
      </c>
      <c r="E236" s="8" t="e">
        <v>#N/A</v>
      </c>
      <c r="F236" s="7" t="e">
        <v>#N/A</v>
      </c>
      <c r="G236" s="9" t="e">
        <v>#N/A</v>
      </c>
      <c r="H236" s="10" t="e">
        <v>#N/A</v>
      </c>
      <c r="I236" s="10" t="e">
        <f>VLOOKUP(Tabla1[[#This Row],[Matricula nueva]],'[1]ALTA 20242025'!$B$1:$P$241,15,FALSE)</f>
        <v>#N/A</v>
      </c>
      <c r="J236" s="11" t="e">
        <v>#N/A</v>
      </c>
    </row>
    <row r="237" spans="1:11" ht="13.5" thickBot="1">
      <c r="A237" s="8" t="s">
        <v>322</v>
      </c>
      <c r="B237" s="8" t="s">
        <v>13</v>
      </c>
      <c r="C237" s="8" t="s">
        <v>14</v>
      </c>
      <c r="D237" s="8" t="s">
        <v>15</v>
      </c>
      <c r="E237" s="15" t="s">
        <v>246</v>
      </c>
      <c r="F237" s="20" t="s">
        <v>17</v>
      </c>
      <c r="G237" s="16">
        <v>45625</v>
      </c>
      <c r="H237" s="10" t="s">
        <v>103</v>
      </c>
      <c r="I237" s="39" t="str">
        <f>VLOOKUP(Tabla1[[#This Row],[Matricula nueva]],'[1]ALTA 20242025'!$B$1:$P$241,15,FALSE)</f>
        <v>4500426797</v>
      </c>
      <c r="J237" s="11" t="s">
        <v>104</v>
      </c>
      <c r="K237" s="1" t="s">
        <v>105</v>
      </c>
    </row>
    <row r="238" spans="1:11" ht="13.5" thickBot="1">
      <c r="A238" s="8" t="e">
        <v>#N/A</v>
      </c>
      <c r="B238" s="8" t="e">
        <v>#N/A</v>
      </c>
      <c r="C238" s="8" t="e">
        <v>#N/A</v>
      </c>
      <c r="D238" s="8" t="e">
        <v>#N/A</v>
      </c>
      <c r="E238" s="8" t="e">
        <v>#N/A</v>
      </c>
      <c r="F238" s="12" t="e">
        <v>#N/A</v>
      </c>
      <c r="G238" s="9" t="e">
        <v>#N/A</v>
      </c>
      <c r="H238" s="10" t="e">
        <v>#N/A</v>
      </c>
      <c r="I238" s="10" t="e">
        <f>VLOOKUP(Tabla1[[#This Row],[Matricula nueva]],'[1]ALTA 20242025'!$B$1:$P$241,15,FALSE)</f>
        <v>#N/A</v>
      </c>
      <c r="J238" s="11" t="e">
        <v>#N/A</v>
      </c>
    </row>
    <row r="239" spans="1:11" ht="13.5" thickBot="1">
      <c r="A239" s="8" t="e">
        <v>#N/A</v>
      </c>
      <c r="B239" s="8" t="e">
        <v>#N/A</v>
      </c>
      <c r="C239" s="8" t="e">
        <v>#N/A</v>
      </c>
      <c r="D239" s="8" t="e">
        <v>#N/A</v>
      </c>
      <c r="E239" s="8" t="e">
        <v>#N/A</v>
      </c>
      <c r="F239" s="13" t="e">
        <v>#N/A</v>
      </c>
      <c r="G239" s="9" t="e">
        <v>#N/A</v>
      </c>
      <c r="H239" s="10" t="e">
        <v>#N/A</v>
      </c>
      <c r="I239" s="10" t="e">
        <f>VLOOKUP(Tabla1[[#This Row],[Matricula nueva]],'[1]ALTA 20242025'!$B$1:$P$241,15,FALSE)</f>
        <v>#N/A</v>
      </c>
      <c r="J239" s="11" t="e">
        <v>#N/A</v>
      </c>
    </row>
    <row r="240" spans="1:11">
      <c r="A240" s="8" t="s">
        <v>323</v>
      </c>
      <c r="B240" s="8" t="s">
        <v>13</v>
      </c>
      <c r="C240" s="8" t="s">
        <v>14</v>
      </c>
      <c r="D240" s="8" t="s">
        <v>15</v>
      </c>
      <c r="E240" s="15" t="s">
        <v>324</v>
      </c>
      <c r="F240" s="19" t="s">
        <v>17</v>
      </c>
      <c r="G240" s="16">
        <v>45625</v>
      </c>
      <c r="H240" s="10" t="s">
        <v>103</v>
      </c>
      <c r="I240" s="39" t="str">
        <f>VLOOKUP(Tabla1[[#This Row],[Matricula nueva]],'[1]ALTA 20242025'!$B$1:$P$241,15,FALSE)</f>
        <v>4500426768</v>
      </c>
      <c r="J240" s="11" t="s">
        <v>104</v>
      </c>
      <c r="K240" s="1" t="s">
        <v>105</v>
      </c>
    </row>
    <row r="241" spans="1:11" ht="13.5" thickBot="1">
      <c r="A241" s="8" t="s">
        <v>325</v>
      </c>
      <c r="B241" s="8" t="s">
        <v>13</v>
      </c>
      <c r="C241" s="8" t="s">
        <v>14</v>
      </c>
      <c r="D241" s="8" t="s">
        <v>15</v>
      </c>
      <c r="E241" s="15" t="s">
        <v>102</v>
      </c>
      <c r="F241" s="18" t="s">
        <v>17</v>
      </c>
      <c r="G241" s="16">
        <v>45625</v>
      </c>
      <c r="H241" s="10" t="s">
        <v>103</v>
      </c>
      <c r="I241" s="39" t="str">
        <f>VLOOKUP(Tabla1[[#This Row],[Matricula nueva]],'[1]ALTA 20242025'!$B$1:$P$241,15,FALSE)</f>
        <v>4500426772</v>
      </c>
      <c r="J241" s="11" t="s">
        <v>104</v>
      </c>
      <c r="K241" s="1" t="s">
        <v>105</v>
      </c>
    </row>
    <row r="242" spans="1:11" ht="13.5" thickBot="1">
      <c r="A242" s="8" t="e">
        <v>#N/A</v>
      </c>
      <c r="B242" s="8" t="e">
        <v>#N/A</v>
      </c>
      <c r="C242" s="8" t="e">
        <v>#N/A</v>
      </c>
      <c r="D242" s="8" t="e">
        <v>#N/A</v>
      </c>
      <c r="E242" s="8" t="e">
        <v>#N/A</v>
      </c>
      <c r="F242" s="12" t="e">
        <v>#N/A</v>
      </c>
      <c r="G242" s="9" t="e">
        <v>#N/A</v>
      </c>
      <c r="H242" s="10" t="e">
        <v>#N/A</v>
      </c>
      <c r="I242" s="10" t="e">
        <f>VLOOKUP(Tabla1[[#This Row],[Matricula nueva]],'[1]ALTA 20242025'!$B$1:$P$241,15,FALSE)</f>
        <v>#N/A</v>
      </c>
      <c r="J242" s="11" t="e">
        <v>#N/A</v>
      </c>
    </row>
    <row r="243" spans="1:11" ht="13.5" thickBot="1">
      <c r="A243" s="8" t="e">
        <v>#N/A</v>
      </c>
      <c r="B243" s="8" t="e">
        <v>#N/A</v>
      </c>
      <c r="C243" s="8" t="e">
        <v>#N/A</v>
      </c>
      <c r="D243" s="8" t="e">
        <v>#N/A</v>
      </c>
      <c r="E243" s="8" t="e">
        <v>#N/A</v>
      </c>
      <c r="F243" s="13" t="e">
        <v>#N/A</v>
      </c>
      <c r="G243" s="9" t="e">
        <v>#N/A</v>
      </c>
      <c r="H243" s="10" t="e">
        <v>#N/A</v>
      </c>
      <c r="I243" s="10" t="e">
        <f>VLOOKUP(Tabla1[[#This Row],[Matricula nueva]],'[1]ALTA 20242025'!$B$1:$P$241,15,FALSE)</f>
        <v>#N/A</v>
      </c>
      <c r="J243" s="11" t="e">
        <v>#N/A</v>
      </c>
    </row>
    <row r="244" spans="1:11" ht="13.5" thickBot="1">
      <c r="A244" s="8" t="s">
        <v>326</v>
      </c>
      <c r="B244" s="8" t="s">
        <v>13</v>
      </c>
      <c r="C244" s="8" t="s">
        <v>34</v>
      </c>
      <c r="D244" s="8" t="s">
        <v>15</v>
      </c>
      <c r="E244" s="15" t="s">
        <v>111</v>
      </c>
      <c r="F244" s="20" t="s">
        <v>17</v>
      </c>
      <c r="G244" s="16">
        <v>43435</v>
      </c>
      <c r="H244" s="10" t="s">
        <v>26</v>
      </c>
      <c r="I244" s="39" t="str">
        <f>VLOOKUP(Tabla1[[#This Row],[Matricula nueva]],'[1]ALTA 20242025'!$B$1:$P$241,15,FALSE)</f>
        <v>X</v>
      </c>
      <c r="J244" s="11" t="s">
        <v>27</v>
      </c>
    </row>
    <row r="245" spans="1:11" ht="13.5" thickBot="1">
      <c r="A245" s="8" t="e">
        <v>#N/A</v>
      </c>
      <c r="B245" s="8" t="e">
        <v>#N/A</v>
      </c>
      <c r="C245" s="8" t="e">
        <v>#N/A</v>
      </c>
      <c r="D245" s="8" t="e">
        <v>#N/A</v>
      </c>
      <c r="E245" s="8" t="e">
        <v>#N/A</v>
      </c>
      <c r="F245" s="12" t="e">
        <v>#N/A</v>
      </c>
      <c r="G245" s="9" t="e">
        <v>#N/A</v>
      </c>
      <c r="H245" s="10" t="e">
        <v>#N/A</v>
      </c>
      <c r="I245" s="10" t="e">
        <f>VLOOKUP(Tabla1[[#This Row],[Matricula nueva]],'[1]ALTA 20242025'!$B$1:$P$241,15,FALSE)</f>
        <v>#N/A</v>
      </c>
      <c r="J245" s="11" t="e">
        <v>#N/A</v>
      </c>
    </row>
    <row r="246" spans="1:11" ht="13.5" thickBot="1">
      <c r="A246" s="8" t="e">
        <v>#N/A</v>
      </c>
      <c r="B246" s="8" t="e">
        <v>#N/A</v>
      </c>
      <c r="C246" s="8" t="e">
        <v>#N/A</v>
      </c>
      <c r="D246" s="8" t="e">
        <v>#N/A</v>
      </c>
      <c r="E246" s="8" t="e">
        <v>#N/A</v>
      </c>
      <c r="F246" s="9" t="e">
        <v>#N/A</v>
      </c>
      <c r="G246" s="9" t="e">
        <v>#N/A</v>
      </c>
      <c r="H246" s="10" t="e">
        <v>#N/A</v>
      </c>
      <c r="I246" s="10" t="e">
        <f>VLOOKUP(Tabla1[[#This Row],[Matricula nueva]],'[1]ALTA 20242025'!$B$1:$P$241,15,FALSE)</f>
        <v>#N/A</v>
      </c>
      <c r="J246" s="11" t="e">
        <v>#N/A</v>
      </c>
    </row>
    <row r="247" spans="1:11" ht="13.5" thickBot="1">
      <c r="A247" s="21" t="e">
        <v>#N/A</v>
      </c>
      <c r="B247" s="21" t="e">
        <v>#N/A</v>
      </c>
      <c r="C247" s="21" t="e">
        <v>#N/A</v>
      </c>
      <c r="D247" s="21" t="e">
        <v>#N/A</v>
      </c>
      <c r="E247" s="8" t="e">
        <v>#N/A</v>
      </c>
      <c r="F247" s="13" t="e">
        <v>#N/A</v>
      </c>
      <c r="G247" s="13" t="e">
        <v>#N/A</v>
      </c>
      <c r="H247" s="22" t="e">
        <v>#N/A</v>
      </c>
      <c r="I247" s="22" t="e">
        <f>VLOOKUP(Tabla1[[#This Row],[Matricula nueva]],'[1]ALTA 20242025'!$B$1:$P$241,15,FALSE)</f>
        <v>#N/A</v>
      </c>
      <c r="J247" s="23" t="e">
        <v>#N/A</v>
      </c>
    </row>
    <row r="248" spans="1:11" ht="13.5" thickBot="1">
      <c r="A248" s="24" t="s">
        <v>327</v>
      </c>
      <c r="B248" s="24" t="s">
        <v>36</v>
      </c>
      <c r="C248" s="24" t="s">
        <v>176</v>
      </c>
      <c r="D248" s="24" t="s">
        <v>15</v>
      </c>
      <c r="E248" s="25" t="s">
        <v>38</v>
      </c>
      <c r="F248" s="34" t="s">
        <v>32</v>
      </c>
      <c r="G248" s="27">
        <v>45133</v>
      </c>
      <c r="H248" s="28" t="s">
        <v>39</v>
      </c>
      <c r="I248" s="41">
        <v>4500370229</v>
      </c>
      <c r="J248" s="29" t="s">
        <v>40</v>
      </c>
      <c r="K248" s="1" t="s">
        <v>41</v>
      </c>
    </row>
    <row r="249" spans="1:11" ht="13.5" thickBot="1">
      <c r="A249" s="31" t="e">
        <v>#N/A</v>
      </c>
      <c r="B249" s="31" t="e">
        <v>#N/A</v>
      </c>
      <c r="C249" s="31" t="e">
        <v>#N/A</v>
      </c>
      <c r="D249" s="31" t="e">
        <v>#N/A</v>
      </c>
      <c r="E249" s="8" t="e">
        <v>#N/A</v>
      </c>
      <c r="F249" s="12" t="e">
        <v>#N/A</v>
      </c>
      <c r="G249" s="12" t="e">
        <v>#N/A</v>
      </c>
      <c r="H249" s="32" t="e">
        <v>#N/A</v>
      </c>
      <c r="I249" s="32" t="e">
        <f>VLOOKUP(Tabla1[[#This Row],[Matricula nueva]],'[1]ALTA 20242025'!$B$1:$P$241,15,FALSE)</f>
        <v>#N/A</v>
      </c>
      <c r="J249" s="33" t="e">
        <v>#N/A</v>
      </c>
    </row>
    <row r="250" spans="1:11" ht="13.5" thickBot="1">
      <c r="A250" s="8" t="e">
        <v>#N/A</v>
      </c>
      <c r="B250" s="8" t="e">
        <v>#N/A</v>
      </c>
      <c r="C250" s="8" t="e">
        <v>#N/A</v>
      </c>
      <c r="D250" s="8" t="e">
        <v>#N/A</v>
      </c>
      <c r="E250" s="8" t="e">
        <v>#N/A</v>
      </c>
      <c r="F250" s="9" t="e">
        <v>#N/A</v>
      </c>
      <c r="G250" s="9" t="e">
        <v>#N/A</v>
      </c>
      <c r="H250" s="10" t="e">
        <v>#N/A</v>
      </c>
      <c r="I250" s="10" t="e">
        <f>VLOOKUP(Tabla1[[#This Row],[Matricula nueva]],'[1]ALTA 20242025'!$B$1:$P$241,15,FALSE)</f>
        <v>#N/A</v>
      </c>
      <c r="J250" s="11" t="e">
        <v>#N/A</v>
      </c>
    </row>
    <row r="251" spans="1:11" ht="13.5" thickBot="1">
      <c r="A251" s="8" t="e">
        <v>#N/A</v>
      </c>
      <c r="B251" s="8" t="e">
        <v>#N/A</v>
      </c>
      <c r="C251" s="8" t="e">
        <v>#N/A</v>
      </c>
      <c r="D251" s="8" t="e">
        <v>#N/A</v>
      </c>
      <c r="E251" s="8" t="e">
        <v>#N/A</v>
      </c>
      <c r="F251" s="9" t="e">
        <v>#N/A</v>
      </c>
      <c r="G251" s="9" t="e">
        <v>#N/A</v>
      </c>
      <c r="H251" s="10" t="e">
        <v>#N/A</v>
      </c>
      <c r="I251" s="10" t="e">
        <f>VLOOKUP(Tabla1[[#This Row],[Matricula nueva]],'[1]ALTA 20242025'!$B$1:$P$241,15,FALSE)</f>
        <v>#N/A</v>
      </c>
      <c r="J251" s="11" t="e">
        <v>#N/A</v>
      </c>
    </row>
    <row r="252" spans="1:11" ht="13.5" thickBot="1">
      <c r="A252" s="21" t="e">
        <v>#N/A</v>
      </c>
      <c r="B252" s="21" t="e">
        <v>#N/A</v>
      </c>
      <c r="C252" s="21" t="e">
        <v>#N/A</v>
      </c>
      <c r="D252" s="21" t="e">
        <v>#N/A</v>
      </c>
      <c r="E252" s="8" t="e">
        <v>#N/A</v>
      </c>
      <c r="F252" s="13" t="e">
        <v>#N/A</v>
      </c>
      <c r="G252" s="13" t="e">
        <v>#N/A</v>
      </c>
      <c r="H252" s="22" t="e">
        <v>#N/A</v>
      </c>
      <c r="I252" s="22" t="e">
        <f>VLOOKUP(Tabla1[[#This Row],[Matricula nueva]],'[1]ALTA 20242025'!$B$1:$P$241,15,FALSE)</f>
        <v>#N/A</v>
      </c>
      <c r="J252" s="23" t="e">
        <v>#N/A</v>
      </c>
    </row>
    <row r="253" spans="1:11" ht="13.5" thickBot="1">
      <c r="A253" s="24" t="s">
        <v>328</v>
      </c>
      <c r="B253" s="24" t="s">
        <v>13</v>
      </c>
      <c r="C253" s="24" t="s">
        <v>14</v>
      </c>
      <c r="D253" s="24" t="s">
        <v>15</v>
      </c>
      <c r="E253" s="25" t="s">
        <v>329</v>
      </c>
      <c r="F253" s="34" t="s">
        <v>17</v>
      </c>
      <c r="G253" s="27">
        <v>45645</v>
      </c>
      <c r="H253" s="28" t="s">
        <v>286</v>
      </c>
      <c r="I253" s="40" t="str">
        <f>VLOOKUP(Tabla1[[#This Row],[Matricula nueva]],'[1]ALTA 20242025'!$B$1:$P$241,15,FALSE)</f>
        <v>4500426769</v>
      </c>
      <c r="J253" s="29" t="s">
        <v>287</v>
      </c>
      <c r="K253" s="1" t="s">
        <v>288</v>
      </c>
    </row>
    <row r="254" spans="1:11" ht="13.5" thickBot="1">
      <c r="A254" s="31" t="e">
        <v>#N/A</v>
      </c>
      <c r="B254" s="31" t="e">
        <v>#N/A</v>
      </c>
      <c r="C254" s="31" t="e">
        <v>#N/A</v>
      </c>
      <c r="D254" s="31" t="e">
        <v>#N/A</v>
      </c>
      <c r="E254" s="8" t="e">
        <v>#N/A</v>
      </c>
      <c r="F254" s="12" t="e">
        <v>#N/A</v>
      </c>
      <c r="G254" s="12" t="e">
        <v>#N/A</v>
      </c>
      <c r="H254" s="32" t="e">
        <v>#N/A</v>
      </c>
      <c r="I254" s="32" t="e">
        <f>VLOOKUP(Tabla1[[#This Row],[Matricula nueva]],'[1]ALTA 20242025'!$B$1:$P$241,15,FALSE)</f>
        <v>#N/A</v>
      </c>
      <c r="J254" s="33" t="e">
        <v>#N/A</v>
      </c>
    </row>
    <row r="255" spans="1:11" ht="13.5" thickBot="1">
      <c r="A255" s="8" t="e">
        <v>#N/A</v>
      </c>
      <c r="B255" s="8" t="e">
        <v>#N/A</v>
      </c>
      <c r="C255" s="8" t="e">
        <v>#N/A</v>
      </c>
      <c r="D255" s="8" t="e">
        <v>#N/A</v>
      </c>
      <c r="E255" s="8" t="e">
        <v>#N/A</v>
      </c>
      <c r="F255" s="9" t="e">
        <v>#N/A</v>
      </c>
      <c r="G255" s="9" t="e">
        <v>#N/A</v>
      </c>
      <c r="H255" s="10" t="e">
        <v>#N/A</v>
      </c>
      <c r="I255" s="10" t="e">
        <f>VLOOKUP(Tabla1[[#This Row],[Matricula nueva]],'[1]ALTA 20242025'!$B$1:$P$241,15,FALSE)</f>
        <v>#N/A</v>
      </c>
      <c r="J255" s="11" t="e">
        <v>#N/A</v>
      </c>
    </row>
    <row r="256" spans="1:11" ht="13.5" thickBot="1">
      <c r="A256" s="21" t="e">
        <v>#N/A</v>
      </c>
      <c r="B256" s="21" t="e">
        <v>#N/A</v>
      </c>
      <c r="C256" s="21" t="e">
        <v>#N/A</v>
      </c>
      <c r="D256" s="21" t="e">
        <v>#N/A</v>
      </c>
      <c r="E256" s="8" t="e">
        <v>#N/A</v>
      </c>
      <c r="F256" s="13" t="e">
        <v>#N/A</v>
      </c>
      <c r="G256" s="13" t="e">
        <v>#N/A</v>
      </c>
      <c r="H256" s="22" t="e">
        <v>#N/A</v>
      </c>
      <c r="I256" s="22" t="e">
        <f>VLOOKUP(Tabla1[[#This Row],[Matricula nueva]],'[1]ALTA 20242025'!$B$1:$P$241,15,FALSE)</f>
        <v>#N/A</v>
      </c>
      <c r="J256" s="23" t="e">
        <v>#N/A</v>
      </c>
    </row>
    <row r="257" spans="1:11" ht="13.5" thickBot="1">
      <c r="A257" s="24" t="s">
        <v>330</v>
      </c>
      <c r="B257" s="24" t="s">
        <v>62</v>
      </c>
      <c r="C257" s="24" t="s">
        <v>63</v>
      </c>
      <c r="D257" s="24" t="s">
        <v>15</v>
      </c>
      <c r="E257" s="25" t="s">
        <v>64</v>
      </c>
      <c r="F257" s="34" t="s">
        <v>17</v>
      </c>
      <c r="G257" s="27">
        <v>45638</v>
      </c>
      <c r="H257" s="28" t="s">
        <v>65</v>
      </c>
      <c r="I257" s="40" t="str">
        <f>VLOOKUP(Tabla1[[#This Row],[Matricula nueva]],'[1]ALTA 20242025'!$B$1:$P$241,15,FALSE)</f>
        <v>4500424893</v>
      </c>
      <c r="J257" s="29" t="s">
        <v>66</v>
      </c>
      <c r="K257" s="1" t="s">
        <v>67</v>
      </c>
    </row>
    <row r="258" spans="1:11" ht="13.5" thickBot="1">
      <c r="A258" s="31" t="e">
        <v>#N/A</v>
      </c>
      <c r="B258" s="31" t="e">
        <v>#N/A</v>
      </c>
      <c r="C258" s="31" t="e">
        <v>#N/A</v>
      </c>
      <c r="D258" s="31" t="e">
        <v>#N/A</v>
      </c>
      <c r="E258" s="8" t="e">
        <v>#N/A</v>
      </c>
      <c r="F258" s="12" t="e">
        <v>#N/A</v>
      </c>
      <c r="G258" s="12" t="e">
        <v>#N/A</v>
      </c>
      <c r="H258" s="32" t="e">
        <v>#N/A</v>
      </c>
      <c r="I258" s="32" t="e">
        <f>VLOOKUP(Tabla1[[#This Row],[Matricula nueva]],'[1]ALTA 20242025'!$B$1:$P$241,15,FALSE)</f>
        <v>#N/A</v>
      </c>
      <c r="J258" s="33" t="e">
        <v>#N/A</v>
      </c>
    </row>
    <row r="259" spans="1:11" ht="13.5" thickBot="1">
      <c r="A259" s="8" t="e">
        <v>#N/A</v>
      </c>
      <c r="B259" s="8" t="e">
        <v>#N/A</v>
      </c>
      <c r="C259" s="8" t="e">
        <v>#N/A</v>
      </c>
      <c r="D259" s="8" t="e">
        <v>#N/A</v>
      </c>
      <c r="E259" s="8" t="e">
        <v>#N/A</v>
      </c>
      <c r="F259" s="9" t="e">
        <v>#N/A</v>
      </c>
      <c r="G259" s="9" t="e">
        <v>#N/A</v>
      </c>
      <c r="H259" s="10" t="e">
        <v>#N/A</v>
      </c>
      <c r="I259" s="10" t="e">
        <f>VLOOKUP(Tabla1[[#This Row],[Matricula nueva]],'[1]ALTA 20242025'!$B$1:$P$241,15,FALSE)</f>
        <v>#N/A</v>
      </c>
      <c r="J259" s="11" t="e">
        <v>#N/A</v>
      </c>
    </row>
    <row r="260" spans="1:11" ht="13.5" thickBot="1">
      <c r="A260" s="8" t="e">
        <v>#N/A</v>
      </c>
      <c r="B260" s="8" t="e">
        <v>#N/A</v>
      </c>
      <c r="C260" s="8" t="e">
        <v>#N/A</v>
      </c>
      <c r="D260" s="8" t="e">
        <v>#N/A</v>
      </c>
      <c r="E260" s="8" t="e">
        <v>#N/A</v>
      </c>
      <c r="F260" s="9" t="e">
        <v>#N/A</v>
      </c>
      <c r="G260" s="9" t="e">
        <v>#N/A</v>
      </c>
      <c r="H260" s="10" t="e">
        <v>#N/A</v>
      </c>
      <c r="I260" s="10" t="e">
        <f>VLOOKUP(Tabla1[[#This Row],[Matricula nueva]],'[1]ALTA 20242025'!$B$1:$P$241,15,FALSE)</f>
        <v>#N/A</v>
      </c>
      <c r="J260" s="11" t="e">
        <v>#N/A</v>
      </c>
    </row>
    <row r="261" spans="1:11" ht="13.5" thickBot="1">
      <c r="A261" s="8" t="e">
        <v>#N/A</v>
      </c>
      <c r="B261" s="8" t="e">
        <v>#N/A</v>
      </c>
      <c r="C261" s="8" t="e">
        <v>#N/A</v>
      </c>
      <c r="D261" s="8" t="e">
        <v>#N/A</v>
      </c>
      <c r="E261" s="8" t="e">
        <v>#N/A</v>
      </c>
      <c r="F261" s="9" t="e">
        <v>#N/A</v>
      </c>
      <c r="G261" s="9" t="e">
        <v>#N/A</v>
      </c>
      <c r="H261" s="10" t="e">
        <v>#N/A</v>
      </c>
      <c r="I261" s="10" t="e">
        <f>VLOOKUP(Tabla1[[#This Row],[Matricula nueva]],'[1]ALTA 20242025'!$B$1:$P$241,15,FALSE)</f>
        <v>#N/A</v>
      </c>
      <c r="J261" s="11" t="e">
        <v>#N/A</v>
      </c>
    </row>
    <row r="262" spans="1:11" ht="13.5" thickBot="1">
      <c r="A262" s="8" t="e">
        <v>#N/A</v>
      </c>
      <c r="B262" s="8" t="e">
        <v>#N/A</v>
      </c>
      <c r="C262" s="8" t="e">
        <v>#N/A</v>
      </c>
      <c r="D262" s="8" t="e">
        <v>#N/A</v>
      </c>
      <c r="E262" s="8" t="e">
        <v>#N/A</v>
      </c>
      <c r="F262" s="9" t="e">
        <v>#N/A</v>
      </c>
      <c r="G262" s="9" t="e">
        <v>#N/A</v>
      </c>
      <c r="H262" s="10" t="e">
        <v>#N/A</v>
      </c>
      <c r="I262" s="10" t="e">
        <f>VLOOKUP(Tabla1[[#This Row],[Matricula nueva]],'[1]ALTA 20242025'!$B$1:$P$241,15,FALSE)</f>
        <v>#N/A</v>
      </c>
      <c r="J262" s="11" t="e">
        <v>#N/A</v>
      </c>
    </row>
    <row r="263" spans="1:11" ht="13.5" thickBot="1">
      <c r="A263" s="8" t="e">
        <v>#N/A</v>
      </c>
      <c r="B263" s="8" t="e">
        <v>#N/A</v>
      </c>
      <c r="C263" s="8" t="e">
        <v>#N/A</v>
      </c>
      <c r="D263" s="8" t="e">
        <v>#N/A</v>
      </c>
      <c r="E263" s="8" t="e">
        <v>#N/A</v>
      </c>
      <c r="F263" s="9" t="e">
        <v>#N/A</v>
      </c>
      <c r="G263" s="9" t="e">
        <v>#N/A</v>
      </c>
      <c r="H263" s="10" t="e">
        <v>#N/A</v>
      </c>
      <c r="I263" s="10" t="e">
        <f>VLOOKUP(Tabla1[[#This Row],[Matricula nueva]],'[1]ALTA 20242025'!$B$1:$P$241,15,FALSE)</f>
        <v>#N/A</v>
      </c>
      <c r="J263" s="11" t="e">
        <v>#N/A</v>
      </c>
    </row>
    <row r="264" spans="1:11" ht="13.5" thickBot="1">
      <c r="A264" s="21" t="e">
        <v>#N/A</v>
      </c>
      <c r="B264" s="21" t="e">
        <v>#N/A</v>
      </c>
      <c r="C264" s="21" t="e">
        <v>#N/A</v>
      </c>
      <c r="D264" s="21" t="e">
        <v>#N/A</v>
      </c>
      <c r="E264" s="8" t="e">
        <v>#N/A</v>
      </c>
      <c r="F264" s="13" t="e">
        <v>#N/A</v>
      </c>
      <c r="G264" s="13" t="e">
        <v>#N/A</v>
      </c>
      <c r="H264" s="22" t="e">
        <v>#N/A</v>
      </c>
      <c r="I264" s="22" t="e">
        <f>VLOOKUP(Tabla1[[#This Row],[Matricula nueva]],'[1]ALTA 20242025'!$B$1:$P$241,15,FALSE)</f>
        <v>#N/A</v>
      </c>
      <c r="J264" s="23" t="e">
        <v>#N/A</v>
      </c>
    </row>
    <row r="265" spans="1:11" ht="13.5" thickBot="1">
      <c r="A265" s="24" t="s">
        <v>331</v>
      </c>
      <c r="B265" s="24" t="s">
        <v>13</v>
      </c>
      <c r="C265" s="24" t="s">
        <v>14</v>
      </c>
      <c r="D265" s="24" t="s">
        <v>15</v>
      </c>
      <c r="E265" s="25" t="s">
        <v>81</v>
      </c>
      <c r="F265" s="34" t="s">
        <v>17</v>
      </c>
      <c r="G265" s="27">
        <v>45645</v>
      </c>
      <c r="H265" s="28" t="s">
        <v>46</v>
      </c>
      <c r="I265" s="40" t="str">
        <f>VLOOKUP(Tabla1[[#This Row],[Matricula nueva]],'[1]ALTA 20242025'!$B$1:$P$241,15,FALSE)</f>
        <v>4500426795</v>
      </c>
      <c r="J265" s="29" t="s">
        <v>47</v>
      </c>
      <c r="K265" s="1" t="s">
        <v>48</v>
      </c>
    </row>
    <row r="266" spans="1:11" ht="13.5" thickBot="1">
      <c r="A266" s="31" t="e">
        <v>#N/A</v>
      </c>
      <c r="B266" s="31" t="e">
        <v>#N/A</v>
      </c>
      <c r="C266" s="31" t="e">
        <v>#N/A</v>
      </c>
      <c r="D266" s="31" t="e">
        <v>#N/A</v>
      </c>
      <c r="E266" s="8" t="e">
        <v>#N/A</v>
      </c>
      <c r="F266" s="7" t="e">
        <v>#N/A</v>
      </c>
      <c r="G266" s="12" t="e">
        <v>#N/A</v>
      </c>
      <c r="H266" s="32" t="e">
        <v>#N/A</v>
      </c>
      <c r="I266" s="32" t="e">
        <f>VLOOKUP(Tabla1[[#This Row],[Matricula nueva]],'[1]ALTA 20242025'!$B$1:$P$241,15,FALSE)</f>
        <v>#N/A</v>
      </c>
      <c r="J266" s="33" t="e">
        <v>#N/A</v>
      </c>
    </row>
    <row r="267" spans="1:11" ht="13.5" thickBot="1">
      <c r="A267" s="8" t="e">
        <v>#N/A</v>
      </c>
      <c r="B267" s="8" t="e">
        <v>#N/A</v>
      </c>
      <c r="C267" s="8" t="e">
        <v>#N/A</v>
      </c>
      <c r="D267" s="8" t="e">
        <v>#N/A</v>
      </c>
      <c r="E267" s="8" t="e">
        <v>#N/A</v>
      </c>
      <c r="F267" s="12" t="e">
        <v>#N/A</v>
      </c>
      <c r="G267" s="9" t="e">
        <v>#N/A</v>
      </c>
      <c r="H267" s="10" t="e">
        <v>#N/A</v>
      </c>
      <c r="I267" s="10" t="e">
        <f>VLOOKUP(Tabla1[[#This Row],[Matricula nueva]],'[1]ALTA 20242025'!$B$1:$P$241,15,FALSE)</f>
        <v>#N/A</v>
      </c>
      <c r="J267" s="11" t="e">
        <v>#N/A</v>
      </c>
    </row>
    <row r="268" spans="1:11" ht="13.5" thickBot="1">
      <c r="A268" s="21" t="e">
        <v>#N/A</v>
      </c>
      <c r="B268" s="21" t="e">
        <v>#N/A</v>
      </c>
      <c r="C268" s="21" t="e">
        <v>#N/A</v>
      </c>
      <c r="D268" s="21" t="e">
        <v>#N/A</v>
      </c>
      <c r="E268" s="8" t="e">
        <v>#N/A</v>
      </c>
      <c r="F268" s="13" t="e">
        <v>#N/A</v>
      </c>
      <c r="G268" s="13" t="e">
        <v>#N/A</v>
      </c>
      <c r="H268" s="22" t="e">
        <v>#N/A</v>
      </c>
      <c r="I268" s="22" t="e">
        <f>VLOOKUP(Tabla1[[#This Row],[Matricula nueva]],'[1]ALTA 20242025'!$B$1:$P$241,15,FALSE)</f>
        <v>#N/A</v>
      </c>
      <c r="J268" s="23" t="e">
        <v>#N/A</v>
      </c>
    </row>
    <row r="269" spans="1:11" ht="13.5" thickBot="1">
      <c r="A269" s="24" t="s">
        <v>332</v>
      </c>
      <c r="B269" s="24" t="s">
        <v>62</v>
      </c>
      <c r="C269" s="24" t="s">
        <v>63</v>
      </c>
      <c r="D269" s="24" t="s">
        <v>15</v>
      </c>
      <c r="E269" s="25" t="s">
        <v>76</v>
      </c>
      <c r="F269" s="26" t="s">
        <v>17</v>
      </c>
      <c r="G269" s="27">
        <v>45638</v>
      </c>
      <c r="H269" s="28" t="s">
        <v>65</v>
      </c>
      <c r="I269" s="40" t="str">
        <f>VLOOKUP(Tabla1[[#This Row],[Matricula nueva]],'[1]ALTA 20242025'!$B$1:$P$241,15,FALSE)</f>
        <v>4500424883</v>
      </c>
      <c r="J269" s="29" t="s">
        <v>66</v>
      </c>
      <c r="K269" s="1" t="s">
        <v>67</v>
      </c>
    </row>
    <row r="270" spans="1:11" ht="13.5" thickBot="1">
      <c r="A270" s="31" t="e">
        <v>#N/A</v>
      </c>
      <c r="B270" s="31" t="e">
        <v>#N/A</v>
      </c>
      <c r="C270" s="31" t="e">
        <v>#N/A</v>
      </c>
      <c r="D270" s="31" t="e">
        <v>#N/A</v>
      </c>
      <c r="E270" s="8" t="e">
        <v>#N/A</v>
      </c>
      <c r="F270" s="12" t="e">
        <v>#N/A</v>
      </c>
      <c r="G270" s="12" t="e">
        <v>#N/A</v>
      </c>
      <c r="H270" s="32" t="e">
        <v>#N/A</v>
      </c>
      <c r="I270" s="32" t="e">
        <f>VLOOKUP(Tabla1[[#This Row],[Matricula nueva]],'[1]ALTA 20242025'!$B$1:$P$241,15,FALSE)</f>
        <v>#N/A</v>
      </c>
      <c r="J270" s="33" t="e">
        <v>#N/A</v>
      </c>
    </row>
    <row r="271" spans="1:11" ht="13.5" thickBot="1">
      <c r="A271" s="8" t="e">
        <v>#N/A</v>
      </c>
      <c r="B271" s="8" t="e">
        <v>#N/A</v>
      </c>
      <c r="C271" s="8" t="e">
        <v>#N/A</v>
      </c>
      <c r="D271" s="8" t="e">
        <v>#N/A</v>
      </c>
      <c r="E271" s="8" t="e">
        <v>#N/A</v>
      </c>
      <c r="F271" s="9" t="e">
        <v>#N/A</v>
      </c>
      <c r="G271" s="9" t="e">
        <v>#N/A</v>
      </c>
      <c r="H271" s="10" t="e">
        <v>#N/A</v>
      </c>
      <c r="I271" s="10" t="e">
        <f>VLOOKUP(Tabla1[[#This Row],[Matricula nueva]],'[1]ALTA 20242025'!$B$1:$P$241,15,FALSE)</f>
        <v>#N/A</v>
      </c>
      <c r="J271" s="11" t="e">
        <v>#N/A</v>
      </c>
    </row>
    <row r="272" spans="1:11" ht="13.5" thickBot="1">
      <c r="A272" s="8" t="e">
        <v>#N/A</v>
      </c>
      <c r="B272" s="8" t="e">
        <v>#N/A</v>
      </c>
      <c r="C272" s="8" t="e">
        <v>#N/A</v>
      </c>
      <c r="D272" s="8" t="e">
        <v>#N/A</v>
      </c>
      <c r="E272" s="8" t="e">
        <v>#N/A</v>
      </c>
      <c r="F272" s="9" t="e">
        <v>#N/A</v>
      </c>
      <c r="G272" s="9" t="e">
        <v>#N/A</v>
      </c>
      <c r="H272" s="10" t="e">
        <v>#N/A</v>
      </c>
      <c r="I272" s="10" t="e">
        <f>VLOOKUP(Tabla1[[#This Row],[Matricula nueva]],'[1]ALTA 20242025'!$B$1:$P$241,15,FALSE)</f>
        <v>#N/A</v>
      </c>
      <c r="J272" s="11" t="e">
        <v>#N/A</v>
      </c>
    </row>
    <row r="273" spans="1:11" ht="13.5" thickBot="1">
      <c r="A273" s="8" t="e">
        <v>#N/A</v>
      </c>
      <c r="B273" s="8" t="e">
        <v>#N/A</v>
      </c>
      <c r="C273" s="8" t="e">
        <v>#N/A</v>
      </c>
      <c r="D273" s="8" t="e">
        <v>#N/A</v>
      </c>
      <c r="E273" s="8" t="e">
        <v>#N/A</v>
      </c>
      <c r="F273" s="13" t="e">
        <v>#N/A</v>
      </c>
      <c r="G273" s="9" t="e">
        <v>#N/A</v>
      </c>
      <c r="H273" s="10" t="e">
        <v>#N/A</v>
      </c>
      <c r="I273" s="10" t="e">
        <f>VLOOKUP(Tabla1[[#This Row],[Matricula nueva]],'[1]ALTA 20242025'!$B$1:$P$241,15,FALSE)</f>
        <v>#N/A</v>
      </c>
      <c r="J273" s="11" t="e">
        <v>#N/A</v>
      </c>
    </row>
    <row r="274" spans="1:11" ht="13.5" thickBot="1">
      <c r="A274" s="8" t="e">
        <v>#N/A</v>
      </c>
      <c r="B274" s="8" t="e">
        <v>#N/A</v>
      </c>
      <c r="C274" s="8" t="e">
        <v>#N/A</v>
      </c>
      <c r="D274" s="8" t="e">
        <v>#N/A</v>
      </c>
      <c r="E274" s="8" t="e">
        <v>#N/A</v>
      </c>
      <c r="F274" s="12" t="e">
        <v>#N/A</v>
      </c>
      <c r="G274" s="9" t="e">
        <v>#N/A</v>
      </c>
      <c r="H274" s="10" t="e">
        <v>#N/A</v>
      </c>
      <c r="I274" s="10" t="e">
        <f>VLOOKUP(Tabla1[[#This Row],[Matricula nueva]],'[1]ALTA 20242025'!$B$1:$P$241,15,FALSE)</f>
        <v>#N/A</v>
      </c>
      <c r="J274" s="11" t="e">
        <v>#N/A</v>
      </c>
    </row>
    <row r="275" spans="1:11" ht="13.5" thickBot="1">
      <c r="A275" s="8" t="e">
        <v>#N/A</v>
      </c>
      <c r="B275" s="8" t="e">
        <v>#N/A</v>
      </c>
      <c r="C275" s="8" t="e">
        <v>#N/A</v>
      </c>
      <c r="D275" s="8" t="e">
        <v>#N/A</v>
      </c>
      <c r="E275" s="8" t="e">
        <v>#N/A</v>
      </c>
      <c r="F275" s="9" t="e">
        <v>#N/A</v>
      </c>
      <c r="G275" s="9" t="e">
        <v>#N/A</v>
      </c>
      <c r="H275" s="10" t="e">
        <v>#N/A</v>
      </c>
      <c r="I275" s="10" t="e">
        <f>VLOOKUP(Tabla1[[#This Row],[Matricula nueva]],'[1]ALTA 20242025'!$B$1:$P$241,15,FALSE)</f>
        <v>#N/A</v>
      </c>
      <c r="J275" s="11" t="e">
        <v>#N/A</v>
      </c>
    </row>
    <row r="276" spans="1:11" ht="13.5" thickBot="1">
      <c r="A276" s="8" t="e">
        <v>#N/A</v>
      </c>
      <c r="B276" s="8" t="e">
        <v>#N/A</v>
      </c>
      <c r="C276" s="8" t="e">
        <v>#N/A</v>
      </c>
      <c r="D276" s="8" t="e">
        <v>#N/A</v>
      </c>
      <c r="E276" s="8" t="e">
        <v>#N/A</v>
      </c>
      <c r="F276" s="9" t="e">
        <v>#N/A</v>
      </c>
      <c r="G276" s="9" t="e">
        <v>#N/A</v>
      </c>
      <c r="H276" s="10" t="e">
        <v>#N/A</v>
      </c>
      <c r="I276" s="10" t="e">
        <f>VLOOKUP(Tabla1[[#This Row],[Matricula nueva]],'[1]ALTA 20242025'!$B$1:$P$241,15,FALSE)</f>
        <v>#N/A</v>
      </c>
      <c r="J276" s="11" t="e">
        <v>#N/A</v>
      </c>
    </row>
    <row r="277" spans="1:11" ht="13.5" thickBot="1">
      <c r="A277" s="8" t="e">
        <v>#N/A</v>
      </c>
      <c r="B277" s="8" t="e">
        <v>#N/A</v>
      </c>
      <c r="C277" s="8" t="e">
        <v>#N/A</v>
      </c>
      <c r="D277" s="8" t="e">
        <v>#N/A</v>
      </c>
      <c r="E277" s="8" t="e">
        <v>#N/A</v>
      </c>
      <c r="F277" s="9" t="e">
        <v>#N/A</v>
      </c>
      <c r="G277" s="9" t="e">
        <v>#N/A</v>
      </c>
      <c r="H277" s="10" t="e">
        <v>#N/A</v>
      </c>
      <c r="I277" s="10" t="e">
        <f>VLOOKUP(Tabla1[[#This Row],[Matricula nueva]],'[1]ALTA 20242025'!$B$1:$P$241,15,FALSE)</f>
        <v>#N/A</v>
      </c>
      <c r="J277" s="11" t="e">
        <v>#N/A</v>
      </c>
    </row>
    <row r="278" spans="1:11" ht="13.5" thickBot="1">
      <c r="A278" s="8" t="e">
        <v>#N/A</v>
      </c>
      <c r="B278" s="8" t="e">
        <v>#N/A</v>
      </c>
      <c r="C278" s="8" t="e">
        <v>#N/A</v>
      </c>
      <c r="D278" s="8" t="e">
        <v>#N/A</v>
      </c>
      <c r="E278" s="8" t="e">
        <v>#N/A</v>
      </c>
      <c r="F278" s="9" t="e">
        <v>#N/A</v>
      </c>
      <c r="G278" s="9" t="e">
        <v>#N/A</v>
      </c>
      <c r="H278" s="10" t="e">
        <v>#N/A</v>
      </c>
      <c r="I278" s="10" t="e">
        <f>VLOOKUP(Tabla1[[#This Row],[Matricula nueva]],'[1]ALTA 20242025'!$B$1:$P$241,15,FALSE)</f>
        <v>#N/A</v>
      </c>
      <c r="J278" s="11" t="e">
        <v>#N/A</v>
      </c>
    </row>
    <row r="279" spans="1:11" ht="13.5" thickBot="1">
      <c r="A279" s="8" t="e">
        <v>#N/A</v>
      </c>
      <c r="B279" s="8" t="e">
        <v>#N/A</v>
      </c>
      <c r="C279" s="8" t="e">
        <v>#N/A</v>
      </c>
      <c r="D279" s="8" t="e">
        <v>#N/A</v>
      </c>
      <c r="E279" s="8" t="e">
        <v>#N/A</v>
      </c>
      <c r="F279" s="9" t="e">
        <v>#N/A</v>
      </c>
      <c r="G279" s="9" t="e">
        <v>#N/A</v>
      </c>
      <c r="H279" s="10" t="e">
        <v>#N/A</v>
      </c>
      <c r="I279" s="10" t="e">
        <f>VLOOKUP(Tabla1[[#This Row],[Matricula nueva]],'[1]ALTA 20242025'!$B$1:$P$241,15,FALSE)</f>
        <v>#N/A</v>
      </c>
      <c r="J279" s="11" t="e">
        <v>#N/A</v>
      </c>
    </row>
    <row r="280" spans="1:11" ht="13.5" thickBot="1">
      <c r="A280" s="8" t="e">
        <v>#N/A</v>
      </c>
      <c r="B280" s="8" t="e">
        <v>#N/A</v>
      </c>
      <c r="C280" s="8" t="e">
        <v>#N/A</v>
      </c>
      <c r="D280" s="8" t="e">
        <v>#N/A</v>
      </c>
      <c r="E280" s="8" t="e">
        <v>#N/A</v>
      </c>
      <c r="F280" s="9" t="e">
        <v>#N/A</v>
      </c>
      <c r="G280" s="9" t="e">
        <v>#N/A</v>
      </c>
      <c r="H280" s="10" t="e">
        <v>#N/A</v>
      </c>
      <c r="I280" s="10" t="e">
        <f>VLOOKUP(Tabla1[[#This Row],[Matricula nueva]],'[1]ALTA 20242025'!$B$1:$P$241,15,FALSE)</f>
        <v>#N/A</v>
      </c>
      <c r="J280" s="11" t="e">
        <v>#N/A</v>
      </c>
    </row>
    <row r="281" spans="1:11" ht="13.5" thickBot="1">
      <c r="A281" s="8" t="e">
        <v>#N/A</v>
      </c>
      <c r="B281" s="8" t="e">
        <v>#N/A</v>
      </c>
      <c r="C281" s="8" t="e">
        <v>#N/A</v>
      </c>
      <c r="D281" s="8" t="e">
        <v>#N/A</v>
      </c>
      <c r="E281" s="8" t="e">
        <v>#N/A</v>
      </c>
      <c r="F281" s="9" t="e">
        <v>#N/A</v>
      </c>
      <c r="G281" s="9" t="e">
        <v>#N/A</v>
      </c>
      <c r="H281" s="10" t="e">
        <v>#N/A</v>
      </c>
      <c r="I281" s="10" t="e">
        <f>VLOOKUP(Tabla1[[#This Row],[Matricula nueva]],'[1]ALTA 20242025'!$B$1:$P$241,15,FALSE)</f>
        <v>#N/A</v>
      </c>
      <c r="J281" s="11" t="e">
        <v>#N/A</v>
      </c>
    </row>
    <row r="282" spans="1:11" ht="13.5" thickBot="1">
      <c r="A282" s="8" t="e">
        <v>#N/A</v>
      </c>
      <c r="B282" s="8" t="e">
        <v>#N/A</v>
      </c>
      <c r="C282" s="8" t="e">
        <v>#N/A</v>
      </c>
      <c r="D282" s="8" t="e">
        <v>#N/A</v>
      </c>
      <c r="E282" s="8" t="e">
        <v>#N/A</v>
      </c>
      <c r="F282" s="9" t="e">
        <v>#N/A</v>
      </c>
      <c r="G282" s="9" t="e">
        <v>#N/A</v>
      </c>
      <c r="H282" s="10" t="e">
        <v>#N/A</v>
      </c>
      <c r="I282" s="10" t="e">
        <f>VLOOKUP(Tabla1[[#This Row],[Matricula nueva]],'[1]ALTA 20242025'!$B$1:$P$241,15,FALSE)</f>
        <v>#N/A</v>
      </c>
      <c r="J282" s="11" t="e">
        <v>#N/A</v>
      </c>
    </row>
    <row r="283" spans="1:11" ht="13.5" thickBot="1">
      <c r="A283" s="8" t="e">
        <v>#N/A</v>
      </c>
      <c r="B283" s="8" t="e">
        <v>#N/A</v>
      </c>
      <c r="C283" s="8" t="e">
        <v>#N/A</v>
      </c>
      <c r="D283" s="8" t="e">
        <v>#N/A</v>
      </c>
      <c r="E283" s="8" t="e">
        <v>#N/A</v>
      </c>
      <c r="F283" s="9" t="e">
        <v>#N/A</v>
      </c>
      <c r="G283" s="9" t="e">
        <v>#N/A</v>
      </c>
      <c r="H283" s="10" t="e">
        <v>#N/A</v>
      </c>
      <c r="I283" s="10" t="e">
        <f>VLOOKUP(Tabla1[[#This Row],[Matricula nueva]],'[1]ALTA 20242025'!$B$1:$P$241,15,FALSE)</f>
        <v>#N/A</v>
      </c>
      <c r="J283" s="11" t="e">
        <v>#N/A</v>
      </c>
    </row>
    <row r="284" spans="1:11" ht="13.5" thickBot="1">
      <c r="A284" s="8" t="e">
        <v>#N/A</v>
      </c>
      <c r="B284" s="8" t="e">
        <v>#N/A</v>
      </c>
      <c r="C284" s="8" t="e">
        <v>#N/A</v>
      </c>
      <c r="D284" s="8" t="e">
        <v>#N/A</v>
      </c>
      <c r="E284" s="8" t="e">
        <v>#N/A</v>
      </c>
      <c r="F284" s="9" t="e">
        <v>#N/A</v>
      </c>
      <c r="G284" s="9" t="e">
        <v>#N/A</v>
      </c>
      <c r="H284" s="10" t="e">
        <v>#N/A</v>
      </c>
      <c r="I284" s="10" t="e">
        <f>VLOOKUP(Tabla1[[#This Row],[Matricula nueva]],'[1]ALTA 20242025'!$B$1:$P$241,15,FALSE)</f>
        <v>#N/A</v>
      </c>
      <c r="J284" s="11" t="e">
        <v>#N/A</v>
      </c>
    </row>
    <row r="285" spans="1:11" ht="13.5" thickBot="1">
      <c r="A285" s="8" t="e">
        <v>#N/A</v>
      </c>
      <c r="B285" s="8" t="e">
        <v>#N/A</v>
      </c>
      <c r="C285" s="8" t="e">
        <v>#N/A</v>
      </c>
      <c r="D285" s="8" t="e">
        <v>#N/A</v>
      </c>
      <c r="E285" s="8" t="e">
        <v>#N/A</v>
      </c>
      <c r="F285" s="9" t="e">
        <v>#N/A</v>
      </c>
      <c r="G285" s="9" t="e">
        <v>#N/A</v>
      </c>
      <c r="H285" s="10" t="e">
        <v>#N/A</v>
      </c>
      <c r="I285" s="10" t="e">
        <f>VLOOKUP(Tabla1[[#This Row],[Matricula nueva]],'[1]ALTA 20242025'!$B$1:$P$241,15,FALSE)</f>
        <v>#N/A</v>
      </c>
      <c r="J285" s="11" t="e">
        <v>#N/A</v>
      </c>
    </row>
    <row r="286" spans="1:11" ht="13.5" thickBot="1">
      <c r="A286" s="8" t="e">
        <v>#N/A</v>
      </c>
      <c r="B286" s="8" t="e">
        <v>#N/A</v>
      </c>
      <c r="C286" s="8" t="e">
        <v>#N/A</v>
      </c>
      <c r="D286" s="8" t="e">
        <v>#N/A</v>
      </c>
      <c r="E286" s="8" t="e">
        <v>#N/A</v>
      </c>
      <c r="F286" s="9" t="e">
        <v>#N/A</v>
      </c>
      <c r="G286" s="9" t="e">
        <v>#N/A</v>
      </c>
      <c r="H286" s="10" t="e">
        <v>#N/A</v>
      </c>
      <c r="I286" s="10" t="e">
        <f>VLOOKUP(Tabla1[[#This Row],[Matricula nueva]],'[1]ALTA 20242025'!$B$1:$P$241,15,FALSE)</f>
        <v>#N/A</v>
      </c>
      <c r="J286" s="11" t="e">
        <v>#N/A</v>
      </c>
    </row>
    <row r="287" spans="1:11" ht="13.5" thickBot="1">
      <c r="A287" s="21" t="e">
        <v>#N/A</v>
      </c>
      <c r="B287" s="21" t="e">
        <v>#N/A</v>
      </c>
      <c r="C287" s="21" t="e">
        <v>#N/A</v>
      </c>
      <c r="D287" s="21" t="e">
        <v>#N/A</v>
      </c>
      <c r="E287" s="8" t="e">
        <v>#N/A</v>
      </c>
      <c r="F287" s="13" t="e">
        <v>#N/A</v>
      </c>
      <c r="G287" s="13" t="e">
        <v>#N/A</v>
      </c>
      <c r="H287" s="22" t="e">
        <v>#N/A</v>
      </c>
      <c r="I287" s="22" t="e">
        <f>VLOOKUP(Tabla1[[#This Row],[Matricula nueva]],'[1]ALTA 20242025'!$B$1:$P$241,15,FALSE)</f>
        <v>#N/A</v>
      </c>
      <c r="J287" s="23" t="e">
        <v>#N/A</v>
      </c>
    </row>
    <row r="288" spans="1:11" ht="13.5" thickBot="1">
      <c r="A288" s="24" t="s">
        <v>333</v>
      </c>
      <c r="B288" s="24" t="s">
        <v>13</v>
      </c>
      <c r="C288" s="24" t="s">
        <v>34</v>
      </c>
      <c r="D288" s="24" t="s">
        <v>15</v>
      </c>
      <c r="E288" s="25" t="s">
        <v>193</v>
      </c>
      <c r="F288" s="34" t="s">
        <v>32</v>
      </c>
      <c r="G288" s="27">
        <v>43019</v>
      </c>
      <c r="H288" s="28" t="s">
        <v>39</v>
      </c>
      <c r="I288" s="41">
        <v>4500349878</v>
      </c>
      <c r="J288" s="29" t="s">
        <v>40</v>
      </c>
      <c r="K288" s="1" t="s">
        <v>41</v>
      </c>
    </row>
    <row r="289" spans="1:10" ht="13.5" thickBot="1">
      <c r="A289" s="31" t="e">
        <v>#N/A</v>
      </c>
      <c r="B289" s="31" t="e">
        <v>#N/A</v>
      </c>
      <c r="C289" s="31" t="e">
        <v>#N/A</v>
      </c>
      <c r="D289" s="31" t="e">
        <v>#N/A</v>
      </c>
      <c r="E289" s="8" t="e">
        <v>#N/A</v>
      </c>
      <c r="F289" s="12" t="e">
        <v>#N/A</v>
      </c>
      <c r="G289" s="12" t="e">
        <v>#N/A</v>
      </c>
      <c r="H289" s="32" t="e">
        <v>#N/A</v>
      </c>
      <c r="I289" s="32" t="e">
        <f>VLOOKUP(Tabla1[[#This Row],[Matricula nueva]],'[1]ALTA 20242025'!$B$1:$P$241,15,FALSE)</f>
        <v>#N/A</v>
      </c>
      <c r="J289" s="33" t="e">
        <v>#N/A</v>
      </c>
    </row>
    <row r="290" spans="1:10" ht="13.5" thickBot="1">
      <c r="A290" s="8" t="e">
        <v>#N/A</v>
      </c>
      <c r="B290" s="8" t="e">
        <v>#N/A</v>
      </c>
      <c r="C290" s="8" t="e">
        <v>#N/A</v>
      </c>
      <c r="D290" s="8" t="e">
        <v>#N/A</v>
      </c>
      <c r="E290" s="8" t="e">
        <v>#N/A</v>
      </c>
      <c r="F290" s="9" t="e">
        <v>#N/A</v>
      </c>
      <c r="G290" s="9" t="e">
        <v>#N/A</v>
      </c>
      <c r="H290" s="10" t="e">
        <v>#N/A</v>
      </c>
      <c r="I290" s="10" t="e">
        <f>VLOOKUP(Tabla1[[#This Row],[Matricula nueva]],'[1]ALTA 20242025'!$B$1:$P$241,15,FALSE)</f>
        <v>#N/A</v>
      </c>
      <c r="J290" s="11" t="e">
        <v>#N/A</v>
      </c>
    </row>
    <row r="291" spans="1:10" ht="13.5" thickBot="1">
      <c r="A291" s="8" t="e">
        <v>#N/A</v>
      </c>
      <c r="B291" s="8" t="e">
        <v>#N/A</v>
      </c>
      <c r="C291" s="8" t="e">
        <v>#N/A</v>
      </c>
      <c r="D291" s="8" t="e">
        <v>#N/A</v>
      </c>
      <c r="E291" s="8" t="e">
        <v>#N/A</v>
      </c>
      <c r="F291" s="9" t="e">
        <v>#N/A</v>
      </c>
      <c r="G291" s="9" t="e">
        <v>#N/A</v>
      </c>
      <c r="H291" s="10" t="e">
        <v>#N/A</v>
      </c>
      <c r="I291" s="10" t="e">
        <f>VLOOKUP(Tabla1[[#This Row],[Matricula nueva]],'[1]ALTA 20242025'!$B$1:$P$241,15,FALSE)</f>
        <v>#N/A</v>
      </c>
      <c r="J291" s="11" t="e">
        <v>#N/A</v>
      </c>
    </row>
    <row r="292" spans="1:10" ht="13.5" thickBot="1">
      <c r="A292" s="8" t="e">
        <v>#N/A</v>
      </c>
      <c r="B292" s="8" t="e">
        <v>#N/A</v>
      </c>
      <c r="C292" s="8" t="e">
        <v>#N/A</v>
      </c>
      <c r="D292" s="8" t="e">
        <v>#N/A</v>
      </c>
      <c r="E292" s="8" t="e">
        <v>#N/A</v>
      </c>
      <c r="F292" s="9" t="e">
        <v>#N/A</v>
      </c>
      <c r="G292" s="9" t="e">
        <v>#N/A</v>
      </c>
      <c r="H292" s="10" t="e">
        <v>#N/A</v>
      </c>
      <c r="I292" s="10" t="e">
        <f>VLOOKUP(Tabla1[[#This Row],[Matricula nueva]],'[1]ALTA 20242025'!$B$1:$P$241,15,FALSE)</f>
        <v>#N/A</v>
      </c>
      <c r="J292" s="11" t="e">
        <v>#N/A</v>
      </c>
    </row>
    <row r="293" spans="1:10" ht="13.5" thickBot="1">
      <c r="A293" s="8" t="e">
        <v>#N/A</v>
      </c>
      <c r="B293" s="8" t="e">
        <v>#N/A</v>
      </c>
      <c r="C293" s="8" t="e">
        <v>#N/A</v>
      </c>
      <c r="D293" s="8" t="e">
        <v>#N/A</v>
      </c>
      <c r="E293" s="8" t="e">
        <v>#N/A</v>
      </c>
      <c r="F293" s="9" t="e">
        <v>#N/A</v>
      </c>
      <c r="G293" s="9" t="e">
        <v>#N/A</v>
      </c>
      <c r="H293" s="10" t="e">
        <v>#N/A</v>
      </c>
      <c r="I293" s="10" t="e">
        <f>VLOOKUP(Tabla1[[#This Row],[Matricula nueva]],'[1]ALTA 20242025'!$B$1:$P$241,15,FALSE)</f>
        <v>#N/A</v>
      </c>
      <c r="J293" s="11" t="e">
        <v>#N/A</v>
      </c>
    </row>
    <row r="294" spans="1:10" ht="13.5" thickBot="1">
      <c r="A294" s="8" t="e">
        <v>#N/A</v>
      </c>
      <c r="B294" s="8" t="e">
        <v>#N/A</v>
      </c>
      <c r="C294" s="8" t="e">
        <v>#N/A</v>
      </c>
      <c r="D294" s="8" t="e">
        <v>#N/A</v>
      </c>
      <c r="E294" s="8" t="e">
        <v>#N/A</v>
      </c>
      <c r="F294" s="9" t="e">
        <v>#N/A</v>
      </c>
      <c r="G294" s="9" t="e">
        <v>#N/A</v>
      </c>
      <c r="H294" s="10" t="e">
        <v>#N/A</v>
      </c>
      <c r="I294" s="10" t="e">
        <f>VLOOKUP(Tabla1[[#This Row],[Matricula nueva]],'[1]ALTA 20242025'!$B$1:$P$241,15,FALSE)</f>
        <v>#N/A</v>
      </c>
      <c r="J294" s="11" t="e">
        <v>#N/A</v>
      </c>
    </row>
    <row r="295" spans="1:10" ht="13.5" thickBot="1">
      <c r="A295" s="8" t="e">
        <v>#N/A</v>
      </c>
      <c r="B295" s="8" t="e">
        <v>#N/A</v>
      </c>
      <c r="C295" s="8" t="e">
        <v>#N/A</v>
      </c>
      <c r="D295" s="8" t="e">
        <v>#N/A</v>
      </c>
      <c r="E295" s="8" t="e">
        <v>#N/A</v>
      </c>
      <c r="F295" s="9" t="e">
        <v>#N/A</v>
      </c>
      <c r="G295" s="9" t="e">
        <v>#N/A</v>
      </c>
      <c r="H295" s="10" t="e">
        <v>#N/A</v>
      </c>
      <c r="I295" s="10" t="e">
        <f>VLOOKUP(Tabla1[[#This Row],[Matricula nueva]],'[1]ALTA 20242025'!$B$1:$P$241,15,FALSE)</f>
        <v>#N/A</v>
      </c>
      <c r="J295" s="11" t="e">
        <v>#N/A</v>
      </c>
    </row>
    <row r="296" spans="1:10" ht="13.5" thickBot="1">
      <c r="A296" s="8" t="e">
        <v>#N/A</v>
      </c>
      <c r="B296" s="8" t="e">
        <v>#N/A</v>
      </c>
      <c r="C296" s="8" t="e">
        <v>#N/A</v>
      </c>
      <c r="D296" s="8" t="e">
        <v>#N/A</v>
      </c>
      <c r="E296" s="8" t="e">
        <v>#N/A</v>
      </c>
      <c r="F296" s="9" t="e">
        <v>#N/A</v>
      </c>
      <c r="G296" s="9" t="e">
        <v>#N/A</v>
      </c>
      <c r="H296" s="10" t="e">
        <v>#N/A</v>
      </c>
      <c r="I296" s="10" t="e">
        <f>VLOOKUP(Tabla1[[#This Row],[Matricula nueva]],'[1]ALTA 20242025'!$B$1:$P$241,15,FALSE)</f>
        <v>#N/A</v>
      </c>
      <c r="J296" s="11" t="e">
        <v>#N/A</v>
      </c>
    </row>
    <row r="297" spans="1:10" ht="13.5" thickBot="1">
      <c r="A297" s="8" t="e">
        <v>#N/A</v>
      </c>
      <c r="B297" s="8" t="e">
        <v>#N/A</v>
      </c>
      <c r="C297" s="8" t="e">
        <v>#N/A</v>
      </c>
      <c r="D297" s="8" t="e">
        <v>#N/A</v>
      </c>
      <c r="E297" s="8" t="e">
        <v>#N/A</v>
      </c>
      <c r="F297" s="9" t="e">
        <v>#N/A</v>
      </c>
      <c r="G297" s="9" t="e">
        <v>#N/A</v>
      </c>
      <c r="H297" s="10" t="e">
        <v>#N/A</v>
      </c>
      <c r="I297" s="10" t="e">
        <f>VLOOKUP(Tabla1[[#This Row],[Matricula nueva]],'[1]ALTA 20242025'!$B$1:$P$241,15,FALSE)</f>
        <v>#N/A</v>
      </c>
      <c r="J297" s="11" t="e">
        <v>#N/A</v>
      </c>
    </row>
    <row r="298" spans="1:10" ht="13.5" thickBot="1">
      <c r="A298" s="8" t="e">
        <v>#N/A</v>
      </c>
      <c r="B298" s="8" t="e">
        <v>#N/A</v>
      </c>
      <c r="C298" s="8" t="e">
        <v>#N/A</v>
      </c>
      <c r="D298" s="8" t="e">
        <v>#N/A</v>
      </c>
      <c r="E298" s="8" t="e">
        <v>#N/A</v>
      </c>
      <c r="F298" s="9" t="e">
        <v>#N/A</v>
      </c>
      <c r="G298" s="9" t="e">
        <v>#N/A</v>
      </c>
      <c r="H298" s="10" t="e">
        <v>#N/A</v>
      </c>
      <c r="I298" s="10" t="e">
        <f>VLOOKUP(Tabla1[[#This Row],[Matricula nueva]],'[1]ALTA 20242025'!$B$1:$P$241,15,FALSE)</f>
        <v>#N/A</v>
      </c>
      <c r="J298" s="11" t="e">
        <v>#N/A</v>
      </c>
    </row>
    <row r="299" spans="1:10" ht="13.5" thickBot="1">
      <c r="A299" s="8" t="e">
        <v>#N/A</v>
      </c>
      <c r="B299" s="8" t="e">
        <v>#N/A</v>
      </c>
      <c r="C299" s="8" t="e">
        <v>#N/A</v>
      </c>
      <c r="D299" s="8" t="e">
        <v>#N/A</v>
      </c>
      <c r="E299" s="8" t="e">
        <v>#N/A</v>
      </c>
      <c r="F299" s="9" t="e">
        <v>#N/A</v>
      </c>
      <c r="G299" s="9" t="e">
        <v>#N/A</v>
      </c>
      <c r="H299" s="10" t="e">
        <v>#N/A</v>
      </c>
      <c r="I299" s="10" t="e">
        <f>VLOOKUP(Tabla1[[#This Row],[Matricula nueva]],'[1]ALTA 20242025'!$B$1:$P$241,15,FALSE)</f>
        <v>#N/A</v>
      </c>
      <c r="J299" s="11" t="e">
        <v>#N/A</v>
      </c>
    </row>
    <row r="300" spans="1:10" ht="13.5" thickBot="1">
      <c r="A300" s="8" t="e">
        <v>#N/A</v>
      </c>
      <c r="B300" s="8" t="e">
        <v>#N/A</v>
      </c>
      <c r="C300" s="8" t="e">
        <v>#N/A</v>
      </c>
      <c r="D300" s="8" t="e">
        <v>#N/A</v>
      </c>
      <c r="E300" s="8" t="e">
        <v>#N/A</v>
      </c>
      <c r="F300" s="9" t="e">
        <v>#N/A</v>
      </c>
      <c r="G300" s="9" t="e">
        <v>#N/A</v>
      </c>
      <c r="H300" s="10" t="e">
        <v>#N/A</v>
      </c>
      <c r="I300" s="10" t="e">
        <f>VLOOKUP(Tabla1[[#This Row],[Matricula nueva]],'[1]ALTA 20242025'!$B$1:$P$241,15,FALSE)</f>
        <v>#N/A</v>
      </c>
      <c r="J300" s="11" t="e">
        <v>#N/A</v>
      </c>
    </row>
    <row r="301" spans="1:10" ht="13.5" thickBot="1">
      <c r="A301" s="8" t="e">
        <v>#N/A</v>
      </c>
      <c r="B301" s="8" t="e">
        <v>#N/A</v>
      </c>
      <c r="C301" s="8" t="e">
        <v>#N/A</v>
      </c>
      <c r="D301" s="8" t="e">
        <v>#N/A</v>
      </c>
      <c r="E301" s="8" t="e">
        <v>#N/A</v>
      </c>
      <c r="F301" s="9" t="e">
        <v>#N/A</v>
      </c>
      <c r="G301" s="9" t="e">
        <v>#N/A</v>
      </c>
      <c r="H301" s="10" t="e">
        <v>#N/A</v>
      </c>
      <c r="I301" s="10" t="e">
        <f>VLOOKUP(Tabla1[[#This Row],[Matricula nueva]],'[1]ALTA 20242025'!$B$1:$P$241,15,FALSE)</f>
        <v>#N/A</v>
      </c>
      <c r="J301" s="11" t="e">
        <v>#N/A</v>
      </c>
    </row>
    <row r="302" spans="1:10" ht="13.5" thickBot="1">
      <c r="A302" s="8" t="e">
        <v>#N/A</v>
      </c>
      <c r="B302" s="8" t="e">
        <v>#N/A</v>
      </c>
      <c r="C302" s="8" t="e">
        <v>#N/A</v>
      </c>
      <c r="D302" s="8" t="e">
        <v>#N/A</v>
      </c>
      <c r="E302" s="8" t="e">
        <v>#N/A</v>
      </c>
      <c r="F302" s="9" t="e">
        <v>#N/A</v>
      </c>
      <c r="G302" s="9" t="e">
        <v>#N/A</v>
      </c>
      <c r="H302" s="10" t="e">
        <v>#N/A</v>
      </c>
      <c r="I302" s="10" t="e">
        <f>VLOOKUP(Tabla1[[#This Row],[Matricula nueva]],'[1]ALTA 20242025'!$B$1:$P$241,15,FALSE)</f>
        <v>#N/A</v>
      </c>
      <c r="J302" s="11" t="e">
        <v>#N/A</v>
      </c>
    </row>
    <row r="303" spans="1:10" ht="13.5" thickBot="1">
      <c r="A303" s="8" t="e">
        <v>#N/A</v>
      </c>
      <c r="B303" s="8" t="e">
        <v>#N/A</v>
      </c>
      <c r="C303" s="8" t="e">
        <v>#N/A</v>
      </c>
      <c r="D303" s="8" t="e">
        <v>#N/A</v>
      </c>
      <c r="E303" s="8" t="e">
        <v>#N/A</v>
      </c>
      <c r="F303" s="9" t="e">
        <v>#N/A</v>
      </c>
      <c r="G303" s="9" t="e">
        <v>#N/A</v>
      </c>
      <c r="H303" s="10" t="e">
        <v>#N/A</v>
      </c>
      <c r="I303" s="10" t="e">
        <f>VLOOKUP(Tabla1[[#This Row],[Matricula nueva]],'[1]ALTA 20242025'!$B$1:$P$241,15,FALSE)</f>
        <v>#N/A</v>
      </c>
      <c r="J303" s="11" t="e">
        <v>#N/A</v>
      </c>
    </row>
    <row r="304" spans="1:10" ht="13.5" thickBot="1">
      <c r="A304" s="21" t="e">
        <v>#N/A</v>
      </c>
      <c r="B304" s="21" t="e">
        <v>#N/A</v>
      </c>
      <c r="C304" s="21" t="e">
        <v>#N/A</v>
      </c>
      <c r="D304" s="21" t="e">
        <v>#N/A</v>
      </c>
      <c r="E304" s="8" t="e">
        <v>#N/A</v>
      </c>
      <c r="F304" s="13" t="e">
        <v>#N/A</v>
      </c>
      <c r="G304" s="13" t="e">
        <v>#N/A</v>
      </c>
      <c r="H304" s="22" t="e">
        <v>#N/A</v>
      </c>
      <c r="I304" s="22" t="e">
        <f>VLOOKUP(Tabla1[[#This Row],[Matricula nueva]],'[1]ALTA 20242025'!$B$1:$P$241,15,FALSE)</f>
        <v>#N/A</v>
      </c>
      <c r="J304" s="23" t="e">
        <v>#N/A</v>
      </c>
    </row>
    <row r="305" spans="1:11" ht="13.5" thickBot="1">
      <c r="A305" s="24" t="s">
        <v>334</v>
      </c>
      <c r="B305" s="24" t="s">
        <v>62</v>
      </c>
      <c r="C305" s="24" t="s">
        <v>63</v>
      </c>
      <c r="D305" s="24" t="s">
        <v>15</v>
      </c>
      <c r="E305" s="25" t="s">
        <v>238</v>
      </c>
      <c r="F305" s="34" t="s">
        <v>17</v>
      </c>
      <c r="G305" s="27">
        <v>45625</v>
      </c>
      <c r="H305" s="28" t="s">
        <v>46</v>
      </c>
      <c r="I305" s="40" t="str">
        <f>VLOOKUP(Tabla1[[#This Row],[Matricula nueva]],'[1]ALTA 20242025'!$B$1:$P$241,15,FALSE)</f>
        <v>4500424797</v>
      </c>
      <c r="J305" s="29" t="s">
        <v>47</v>
      </c>
      <c r="K305" s="1" t="s">
        <v>48</v>
      </c>
    </row>
    <row r="306" spans="1:11">
      <c r="A306" s="31" t="e">
        <v>#N/A</v>
      </c>
      <c r="B306" s="31" t="e">
        <v>#N/A</v>
      </c>
      <c r="C306" s="31" t="e">
        <v>#N/A</v>
      </c>
      <c r="D306" s="31" t="e">
        <v>#N/A</v>
      </c>
      <c r="E306" s="8" t="e">
        <v>#N/A</v>
      </c>
      <c r="F306" s="12" t="e">
        <v>#N/A</v>
      </c>
      <c r="G306" s="12" t="e">
        <v>#N/A</v>
      </c>
      <c r="H306" s="32" t="e">
        <v>#N/A</v>
      </c>
      <c r="I306" s="32" t="e">
        <f>VLOOKUP(Tabla1[[#This Row],[Matricula nueva]],'[1]ALTA 20242025'!$B$1:$P$241,15,FALSE)</f>
        <v>#N/A</v>
      </c>
      <c r="J306" s="33" t="e">
        <v>#N/A</v>
      </c>
    </row>
    <row r="307" spans="1:11">
      <c r="A307" s="8" t="e">
        <v>#N/A</v>
      </c>
      <c r="B307" s="8" t="e">
        <v>#N/A</v>
      </c>
      <c r="C307" s="8" t="e">
        <v>#N/A</v>
      </c>
      <c r="D307" s="8" t="e">
        <v>#N/A</v>
      </c>
      <c r="E307" s="8" t="e">
        <v>#N/A</v>
      </c>
      <c r="F307" s="9" t="e">
        <v>#N/A</v>
      </c>
      <c r="G307" s="9" t="e">
        <v>#N/A</v>
      </c>
      <c r="H307" s="10" t="e">
        <v>#N/A</v>
      </c>
      <c r="I307" s="10" t="e">
        <f>VLOOKUP(Tabla1[[#This Row],[Matricula nueva]],'[1]ALTA 20242025'!$B$1:$P$241,15,FALSE)</f>
        <v>#N/A</v>
      </c>
      <c r="J307" s="11" t="e">
        <v>#N/A</v>
      </c>
    </row>
    <row r="308" spans="1:11">
      <c r="A308" s="8" t="e">
        <v>#N/A</v>
      </c>
      <c r="B308" s="8" t="e">
        <v>#N/A</v>
      </c>
      <c r="C308" s="8" t="e">
        <v>#N/A</v>
      </c>
      <c r="D308" s="8" t="e">
        <v>#N/A</v>
      </c>
      <c r="E308" s="8" t="e">
        <v>#N/A</v>
      </c>
      <c r="F308" s="9" t="e">
        <v>#N/A</v>
      </c>
      <c r="G308" s="9" t="e">
        <v>#N/A</v>
      </c>
      <c r="H308" s="10" t="e">
        <v>#N/A</v>
      </c>
      <c r="I308" s="10" t="e">
        <f>VLOOKUP(Tabla1[[#This Row],[Matricula nueva]],'[1]ALTA 20242025'!$B$1:$P$241,15,FALSE)</f>
        <v>#N/A</v>
      </c>
      <c r="J308" s="11" t="e">
        <v>#N/A</v>
      </c>
    </row>
    <row r="309" spans="1:11">
      <c r="A309" s="8" t="e">
        <v>#N/A</v>
      </c>
      <c r="B309" s="8" t="e">
        <v>#N/A</v>
      </c>
      <c r="C309" s="8" t="e">
        <v>#N/A</v>
      </c>
      <c r="D309" s="8" t="e">
        <v>#N/A</v>
      </c>
      <c r="E309" s="8" t="e">
        <v>#N/A</v>
      </c>
      <c r="F309" s="9" t="e">
        <v>#N/A</v>
      </c>
      <c r="G309" s="9" t="e">
        <v>#N/A</v>
      </c>
      <c r="H309" s="10" t="e">
        <v>#N/A</v>
      </c>
      <c r="I309" s="10" t="e">
        <f>VLOOKUP(Tabla1[[#This Row],[Matricula nueva]],'[1]ALTA 20242025'!$B$1:$P$241,15,FALSE)</f>
        <v>#N/A</v>
      </c>
      <c r="J309" s="11" t="e">
        <v>#N/A</v>
      </c>
    </row>
    <row r="310" spans="1:11">
      <c r="A310" s="8" t="e">
        <v>#N/A</v>
      </c>
      <c r="B310" s="8" t="e">
        <v>#N/A</v>
      </c>
      <c r="C310" s="8" t="e">
        <v>#N/A</v>
      </c>
      <c r="D310" s="8" t="e">
        <v>#N/A</v>
      </c>
      <c r="E310" s="8" t="e">
        <v>#N/A</v>
      </c>
      <c r="F310" s="9" t="e">
        <v>#N/A</v>
      </c>
      <c r="G310" s="9" t="e">
        <v>#N/A</v>
      </c>
      <c r="H310" s="10" t="e">
        <v>#N/A</v>
      </c>
      <c r="I310" s="10" t="e">
        <f>VLOOKUP(Tabla1[[#This Row],[Matricula nueva]],'[1]ALTA 20242025'!$B$1:$P$241,15,FALSE)</f>
        <v>#N/A</v>
      </c>
      <c r="J310" s="11" t="e">
        <v>#N/A</v>
      </c>
    </row>
    <row r="311" spans="1:11">
      <c r="A311" s="8" t="e">
        <v>#N/A</v>
      </c>
      <c r="B311" s="8" t="e">
        <v>#N/A</v>
      </c>
      <c r="C311" s="8" t="e">
        <v>#N/A</v>
      </c>
      <c r="D311" s="8" t="e">
        <v>#N/A</v>
      </c>
      <c r="E311" s="8" t="e">
        <v>#N/A</v>
      </c>
      <c r="F311" s="9" t="e">
        <v>#N/A</v>
      </c>
      <c r="G311" s="9" t="e">
        <v>#N/A</v>
      </c>
      <c r="H311" s="10" t="e">
        <v>#N/A</v>
      </c>
      <c r="I311" s="10" t="e">
        <f>VLOOKUP(Tabla1[[#This Row],[Matricula nueva]],'[1]ALTA 20242025'!$B$1:$P$241,15,FALSE)</f>
        <v>#N/A</v>
      </c>
      <c r="J311" s="11" t="e">
        <v>#N/A</v>
      </c>
    </row>
    <row r="312" spans="1:11">
      <c r="A312" s="8" t="e">
        <v>#N/A</v>
      </c>
      <c r="B312" s="8" t="e">
        <v>#N/A</v>
      </c>
      <c r="C312" s="8" t="e">
        <v>#N/A</v>
      </c>
      <c r="D312" s="8" t="e">
        <v>#N/A</v>
      </c>
      <c r="E312" s="8" t="e">
        <v>#N/A</v>
      </c>
      <c r="F312" s="9" t="e">
        <v>#N/A</v>
      </c>
      <c r="G312" s="9" t="e">
        <v>#N/A</v>
      </c>
      <c r="H312" s="10" t="e">
        <v>#N/A</v>
      </c>
      <c r="I312" s="10" t="e">
        <f>VLOOKUP(Tabla1[[#This Row],[Matricula nueva]],'[1]ALTA 20242025'!$B$1:$P$241,15,FALSE)</f>
        <v>#N/A</v>
      </c>
      <c r="J312" s="11" t="e">
        <v>#N/A</v>
      </c>
    </row>
    <row r="313" spans="1:11">
      <c r="A313" s="8" t="e">
        <v>#N/A</v>
      </c>
      <c r="B313" s="8" t="e">
        <v>#N/A</v>
      </c>
      <c r="C313" s="8" t="e">
        <v>#N/A</v>
      </c>
      <c r="D313" s="8" t="e">
        <v>#N/A</v>
      </c>
      <c r="E313" s="8" t="e">
        <v>#N/A</v>
      </c>
      <c r="F313" s="9" t="e">
        <v>#N/A</v>
      </c>
      <c r="G313" s="9" t="e">
        <v>#N/A</v>
      </c>
      <c r="H313" s="10" t="e">
        <v>#N/A</v>
      </c>
      <c r="I313" s="10" t="e">
        <f>VLOOKUP(Tabla1[[#This Row],[Matricula nueva]],'[1]ALTA 20242025'!$B$1:$P$241,15,FALSE)</f>
        <v>#N/A</v>
      </c>
      <c r="J313" s="11" t="e">
        <v>#N/A</v>
      </c>
    </row>
    <row r="314" spans="1:11">
      <c r="A314" s="8" t="e">
        <v>#N/A</v>
      </c>
      <c r="B314" s="8" t="e">
        <v>#N/A</v>
      </c>
      <c r="C314" s="8" t="e">
        <v>#N/A</v>
      </c>
      <c r="D314" s="8" t="e">
        <v>#N/A</v>
      </c>
      <c r="E314" s="8" t="e">
        <v>#N/A</v>
      </c>
      <c r="F314" s="9" t="e">
        <v>#N/A</v>
      </c>
      <c r="G314" s="9" t="e">
        <v>#N/A</v>
      </c>
      <c r="H314" s="10" t="e">
        <v>#N/A</v>
      </c>
      <c r="I314" s="10" t="e">
        <f>VLOOKUP(Tabla1[[#This Row],[Matricula nueva]],'[1]ALTA 20242025'!$B$1:$P$241,15,FALSE)</f>
        <v>#N/A</v>
      </c>
      <c r="J314" s="11" t="e">
        <v>#N/A</v>
      </c>
    </row>
    <row r="315" spans="1:11">
      <c r="A315" s="8" t="e">
        <v>#N/A</v>
      </c>
      <c r="B315" s="8" t="e">
        <v>#N/A</v>
      </c>
      <c r="C315" s="8" t="e">
        <v>#N/A</v>
      </c>
      <c r="D315" s="8" t="e">
        <v>#N/A</v>
      </c>
      <c r="E315" s="8" t="e">
        <v>#N/A</v>
      </c>
      <c r="F315" s="9" t="e">
        <v>#N/A</v>
      </c>
      <c r="G315" s="9" t="e">
        <v>#N/A</v>
      </c>
      <c r="H315" s="10" t="e">
        <v>#N/A</v>
      </c>
      <c r="I315" s="10" t="e">
        <f>VLOOKUP(Tabla1[[#This Row],[Matricula nueva]],'[1]ALTA 20242025'!$B$1:$P$241,15,FALSE)</f>
        <v>#N/A</v>
      </c>
      <c r="J315" s="11" t="e">
        <v>#N/A</v>
      </c>
    </row>
    <row r="316" spans="1:11">
      <c r="A316" s="8" t="e">
        <v>#N/A</v>
      </c>
      <c r="B316" s="8" t="e">
        <v>#N/A</v>
      </c>
      <c r="C316" s="8" t="e">
        <v>#N/A</v>
      </c>
      <c r="D316" s="8" t="e">
        <v>#N/A</v>
      </c>
      <c r="E316" s="8" t="e">
        <v>#N/A</v>
      </c>
      <c r="F316" s="9" t="e">
        <v>#N/A</v>
      </c>
      <c r="G316" s="9" t="e">
        <v>#N/A</v>
      </c>
      <c r="H316" s="10" t="e">
        <v>#N/A</v>
      </c>
      <c r="I316" s="10" t="e">
        <f>VLOOKUP(Tabla1[[#This Row],[Matricula nueva]],'[1]ALTA 20242025'!$B$1:$P$241,15,FALSE)</f>
        <v>#N/A</v>
      </c>
      <c r="J316" s="11" t="e">
        <v>#N/A</v>
      </c>
    </row>
    <row r="317" spans="1:11">
      <c r="A317" s="8" t="e">
        <v>#N/A</v>
      </c>
      <c r="B317" s="8" t="e">
        <v>#N/A</v>
      </c>
      <c r="C317" s="8" t="e">
        <v>#N/A</v>
      </c>
      <c r="D317" s="8" t="e">
        <v>#N/A</v>
      </c>
      <c r="E317" s="8" t="e">
        <v>#N/A</v>
      </c>
      <c r="F317" s="9" t="e">
        <v>#N/A</v>
      </c>
      <c r="G317" s="9" t="e">
        <v>#N/A</v>
      </c>
      <c r="H317" s="10" t="e">
        <v>#N/A</v>
      </c>
      <c r="I317" s="10" t="e">
        <f>VLOOKUP(Tabla1[[#This Row],[Matricula nueva]],'[1]ALTA 20242025'!$B$1:$P$241,15,FALSE)</f>
        <v>#N/A</v>
      </c>
      <c r="J317" s="11" t="e">
        <v>#N/A</v>
      </c>
    </row>
    <row r="318" spans="1:11">
      <c r="A318" s="8" t="e">
        <v>#N/A</v>
      </c>
      <c r="B318" s="8" t="e">
        <v>#N/A</v>
      </c>
      <c r="C318" s="8" t="e">
        <v>#N/A</v>
      </c>
      <c r="D318" s="8" t="e">
        <v>#N/A</v>
      </c>
      <c r="E318" s="8" t="e">
        <v>#N/A</v>
      </c>
      <c r="F318" s="9" t="e">
        <v>#N/A</v>
      </c>
      <c r="G318" s="9" t="e">
        <v>#N/A</v>
      </c>
      <c r="H318" s="10" t="e">
        <v>#N/A</v>
      </c>
      <c r="I318" s="10" t="e">
        <f>VLOOKUP(Tabla1[[#This Row],[Matricula nueva]],'[1]ALTA 20242025'!$B$1:$P$241,15,FALSE)</f>
        <v>#N/A</v>
      </c>
      <c r="J318" s="11" t="e">
        <v>#N/A</v>
      </c>
    </row>
    <row r="319" spans="1:11">
      <c r="A319" s="8" t="e">
        <v>#N/A</v>
      </c>
      <c r="B319" s="8" t="e">
        <v>#N/A</v>
      </c>
      <c r="C319" s="8" t="e">
        <v>#N/A</v>
      </c>
      <c r="D319" s="8" t="e">
        <v>#N/A</v>
      </c>
      <c r="E319" s="8" t="e">
        <v>#N/A</v>
      </c>
      <c r="F319" s="9" t="e">
        <v>#N/A</v>
      </c>
      <c r="G319" s="9" t="e">
        <v>#N/A</v>
      </c>
      <c r="H319" s="10" t="e">
        <v>#N/A</v>
      </c>
      <c r="I319" s="10" t="e">
        <f>VLOOKUP(Tabla1[[#This Row],[Matricula nueva]],'[1]ALTA 20242025'!$B$1:$P$241,15,FALSE)</f>
        <v>#N/A</v>
      </c>
      <c r="J319" s="11" t="e">
        <v>#N/A</v>
      </c>
    </row>
    <row r="320" spans="1:11">
      <c r="A320" s="8" t="e">
        <v>#N/A</v>
      </c>
      <c r="B320" s="8" t="e">
        <v>#N/A</v>
      </c>
      <c r="C320" s="8" t="e">
        <v>#N/A</v>
      </c>
      <c r="D320" s="8" t="e">
        <v>#N/A</v>
      </c>
      <c r="E320" s="8" t="e">
        <v>#N/A</v>
      </c>
      <c r="F320" s="9" t="e">
        <v>#N/A</v>
      </c>
      <c r="G320" s="9" t="e">
        <v>#N/A</v>
      </c>
      <c r="H320" s="10" t="e">
        <v>#N/A</v>
      </c>
      <c r="I320" s="10" t="e">
        <f>VLOOKUP(Tabla1[[#This Row],[Matricula nueva]],'[1]ALTA 20242025'!$B$1:$P$241,15,FALSE)</f>
        <v>#N/A</v>
      </c>
      <c r="J320" s="11" t="e">
        <v>#N/A</v>
      </c>
    </row>
    <row r="321" spans="1:10">
      <c r="A321" s="8" t="e">
        <v>#N/A</v>
      </c>
      <c r="B321" s="8" t="e">
        <v>#N/A</v>
      </c>
      <c r="C321" s="8" t="e">
        <v>#N/A</v>
      </c>
      <c r="D321" s="8" t="e">
        <v>#N/A</v>
      </c>
      <c r="E321" s="8" t="e">
        <v>#N/A</v>
      </c>
      <c r="F321" s="9" t="e">
        <v>#N/A</v>
      </c>
      <c r="G321" s="9" t="e">
        <v>#N/A</v>
      </c>
      <c r="H321" s="10" t="e">
        <v>#N/A</v>
      </c>
      <c r="I321" s="10" t="e">
        <f>VLOOKUP(Tabla1[[#This Row],[Matricula nueva]],'[1]ALTA 20242025'!$B$1:$P$241,15,FALSE)</f>
        <v>#N/A</v>
      </c>
      <c r="J321" s="11" t="e">
        <v>#N/A</v>
      </c>
    </row>
    <row r="322" spans="1:10">
      <c r="A322" s="8" t="e">
        <v>#N/A</v>
      </c>
      <c r="B322" s="8" t="e">
        <v>#N/A</v>
      </c>
      <c r="C322" s="8" t="e">
        <v>#N/A</v>
      </c>
      <c r="D322" s="8" t="e">
        <v>#N/A</v>
      </c>
      <c r="E322" s="8" t="e">
        <v>#N/A</v>
      </c>
      <c r="F322" s="9" t="e">
        <v>#N/A</v>
      </c>
      <c r="G322" s="9" t="e">
        <v>#N/A</v>
      </c>
      <c r="H322" s="10" t="e">
        <v>#N/A</v>
      </c>
      <c r="I322" s="10" t="e">
        <f>VLOOKUP(Tabla1[[#This Row],[Matricula nueva]],'[1]ALTA 20242025'!$B$1:$P$241,15,FALSE)</f>
        <v>#N/A</v>
      </c>
      <c r="J322" s="11" t="e">
        <v>#N/A</v>
      </c>
    </row>
    <row r="323" spans="1:10">
      <c r="A323" s="8" t="e">
        <v>#N/A</v>
      </c>
      <c r="B323" s="8" t="e">
        <v>#N/A</v>
      </c>
      <c r="C323" s="8" t="e">
        <v>#N/A</v>
      </c>
      <c r="D323" s="8" t="e">
        <v>#N/A</v>
      </c>
      <c r="E323" s="8" t="e">
        <v>#N/A</v>
      </c>
      <c r="F323" s="9" t="e">
        <v>#N/A</v>
      </c>
      <c r="G323" s="9" t="e">
        <v>#N/A</v>
      </c>
      <c r="H323" s="10" t="e">
        <v>#N/A</v>
      </c>
      <c r="I323" s="10" t="e">
        <f>VLOOKUP(Tabla1[[#This Row],[Matricula nueva]],'[1]ALTA 20242025'!$B$1:$P$241,15,FALSE)</f>
        <v>#N/A</v>
      </c>
      <c r="J323" s="11" t="e">
        <v>#N/A</v>
      </c>
    </row>
    <row r="324" spans="1:10">
      <c r="A324" s="8" t="e">
        <v>#N/A</v>
      </c>
      <c r="B324" s="8" t="e">
        <v>#N/A</v>
      </c>
      <c r="C324" s="8" t="e">
        <v>#N/A</v>
      </c>
      <c r="D324" s="8" t="e">
        <v>#N/A</v>
      </c>
      <c r="E324" s="8" t="e">
        <v>#N/A</v>
      </c>
      <c r="F324" s="9" t="e">
        <v>#N/A</v>
      </c>
      <c r="G324" s="9" t="e">
        <v>#N/A</v>
      </c>
      <c r="H324" s="10" t="e">
        <v>#N/A</v>
      </c>
      <c r="I324" s="10" t="e">
        <f>VLOOKUP(Tabla1[[#This Row],[Matricula nueva]],'[1]ALTA 20242025'!$B$1:$P$241,15,FALSE)</f>
        <v>#N/A</v>
      </c>
      <c r="J324" s="11" t="e">
        <v>#N/A</v>
      </c>
    </row>
    <row r="325" spans="1:10">
      <c r="A325" s="8" t="e">
        <v>#N/A</v>
      </c>
      <c r="B325" s="8" t="e">
        <v>#N/A</v>
      </c>
      <c r="C325" s="8" t="e">
        <v>#N/A</v>
      </c>
      <c r="D325" s="8" t="e">
        <v>#N/A</v>
      </c>
      <c r="E325" s="8" t="e">
        <v>#N/A</v>
      </c>
      <c r="F325" s="9" t="e">
        <v>#N/A</v>
      </c>
      <c r="G325" s="9" t="e">
        <v>#N/A</v>
      </c>
      <c r="H325" s="10" t="e">
        <v>#N/A</v>
      </c>
      <c r="I325" s="10" t="e">
        <f>VLOOKUP(Tabla1[[#This Row],[Matricula nueva]],'[1]ALTA 20242025'!$B$1:$P$241,15,FALSE)</f>
        <v>#N/A</v>
      </c>
      <c r="J325" s="11" t="e">
        <v>#N/A</v>
      </c>
    </row>
    <row r="326" spans="1:10">
      <c r="A326" s="8" t="e">
        <v>#N/A</v>
      </c>
      <c r="B326" s="8" t="e">
        <v>#N/A</v>
      </c>
      <c r="C326" s="8" t="e">
        <v>#N/A</v>
      </c>
      <c r="D326" s="8" t="e">
        <v>#N/A</v>
      </c>
      <c r="E326" s="8" t="e">
        <v>#N/A</v>
      </c>
      <c r="F326" s="9" t="e">
        <v>#N/A</v>
      </c>
      <c r="G326" s="9" t="e">
        <v>#N/A</v>
      </c>
      <c r="H326" s="10" t="e">
        <v>#N/A</v>
      </c>
      <c r="I326" s="10" t="e">
        <f>VLOOKUP(Tabla1[[#This Row],[Matricula nueva]],'[1]ALTA 20242025'!$B$1:$P$241,15,FALSE)</f>
        <v>#N/A</v>
      </c>
      <c r="J326" s="11" t="e">
        <v>#N/A</v>
      </c>
    </row>
    <row r="327" spans="1:10">
      <c r="A327" s="8" t="e">
        <v>#N/A</v>
      </c>
      <c r="B327" s="8" t="e">
        <v>#N/A</v>
      </c>
      <c r="C327" s="8" t="e">
        <v>#N/A</v>
      </c>
      <c r="D327" s="8" t="e">
        <v>#N/A</v>
      </c>
      <c r="E327" s="8" t="e">
        <v>#N/A</v>
      </c>
      <c r="F327" s="9" t="e">
        <v>#N/A</v>
      </c>
      <c r="G327" s="9" t="e">
        <v>#N/A</v>
      </c>
      <c r="H327" s="10" t="e">
        <v>#N/A</v>
      </c>
      <c r="I327" s="10" t="e">
        <f>VLOOKUP(Tabla1[[#This Row],[Matricula nueva]],'[1]ALTA 20242025'!$B$1:$P$241,15,FALSE)</f>
        <v>#N/A</v>
      </c>
      <c r="J327" s="11" t="e">
        <v>#N/A</v>
      </c>
    </row>
    <row r="328" spans="1:10">
      <c r="A328" s="8" t="e">
        <v>#N/A</v>
      </c>
      <c r="B328" s="8" t="e">
        <v>#N/A</v>
      </c>
      <c r="C328" s="8" t="e">
        <v>#N/A</v>
      </c>
      <c r="D328" s="8" t="e">
        <v>#N/A</v>
      </c>
      <c r="E328" s="8" t="e">
        <v>#N/A</v>
      </c>
      <c r="F328" s="9" t="e">
        <v>#N/A</v>
      </c>
      <c r="G328" s="9" t="e">
        <v>#N/A</v>
      </c>
      <c r="H328" s="10" t="e">
        <v>#N/A</v>
      </c>
      <c r="I328" s="10" t="e">
        <f>VLOOKUP(Tabla1[[#This Row],[Matricula nueva]],'[1]ALTA 20242025'!$B$1:$P$241,15,FALSE)</f>
        <v>#N/A</v>
      </c>
      <c r="J328" s="11" t="e">
        <v>#N/A</v>
      </c>
    </row>
    <row r="329" spans="1:10">
      <c r="A329" s="8" t="e">
        <v>#N/A</v>
      </c>
      <c r="B329" s="8" t="e">
        <v>#N/A</v>
      </c>
      <c r="C329" s="8" t="e">
        <v>#N/A</v>
      </c>
      <c r="D329" s="8" t="e">
        <v>#N/A</v>
      </c>
      <c r="E329" s="8" t="e">
        <v>#N/A</v>
      </c>
      <c r="F329" s="9" t="e">
        <v>#N/A</v>
      </c>
      <c r="G329" s="9" t="e">
        <v>#N/A</v>
      </c>
      <c r="H329" s="10" t="e">
        <v>#N/A</v>
      </c>
      <c r="I329" s="10" t="e">
        <f>VLOOKUP(Tabla1[[#This Row],[Matricula nueva]],'[1]ALTA 20242025'!$B$1:$P$241,15,FALSE)</f>
        <v>#N/A</v>
      </c>
      <c r="J329" s="11" t="e">
        <v>#N/A</v>
      </c>
    </row>
    <row r="330" spans="1:10">
      <c r="A330" s="8" t="e">
        <v>#N/A</v>
      </c>
      <c r="B330" s="8" t="e">
        <v>#N/A</v>
      </c>
      <c r="C330" s="8" t="e">
        <v>#N/A</v>
      </c>
      <c r="D330" s="8" t="e">
        <v>#N/A</v>
      </c>
      <c r="E330" s="8" t="e">
        <v>#N/A</v>
      </c>
      <c r="F330" s="9" t="e">
        <v>#N/A</v>
      </c>
      <c r="G330" s="9" t="e">
        <v>#N/A</v>
      </c>
      <c r="H330" s="10" t="e">
        <v>#N/A</v>
      </c>
      <c r="I330" s="10" t="e">
        <f>VLOOKUP(Tabla1[[#This Row],[Matricula nueva]],'[1]ALTA 20242025'!$B$1:$P$241,15,FALSE)</f>
        <v>#N/A</v>
      </c>
      <c r="J330" s="11" t="e">
        <v>#N/A</v>
      </c>
    </row>
    <row r="331" spans="1:10">
      <c r="A331" s="8" t="e">
        <v>#N/A</v>
      </c>
      <c r="B331" s="8" t="e">
        <v>#N/A</v>
      </c>
      <c r="C331" s="8" t="e">
        <v>#N/A</v>
      </c>
      <c r="D331" s="8" t="e">
        <v>#N/A</v>
      </c>
      <c r="E331" s="8" t="e">
        <v>#N/A</v>
      </c>
      <c r="F331" s="9" t="e">
        <v>#N/A</v>
      </c>
      <c r="G331" s="9" t="e">
        <v>#N/A</v>
      </c>
      <c r="H331" s="10" t="e">
        <v>#N/A</v>
      </c>
      <c r="I331" s="10" t="e">
        <f>VLOOKUP(Tabla1[[#This Row],[Matricula nueva]],'[1]ALTA 20242025'!$B$1:$P$241,15,FALSE)</f>
        <v>#N/A</v>
      </c>
      <c r="J331" s="11" t="e">
        <v>#N/A</v>
      </c>
    </row>
    <row r="332" spans="1:10">
      <c r="A332" s="8" t="e">
        <v>#N/A</v>
      </c>
      <c r="B332" s="8" t="e">
        <v>#N/A</v>
      </c>
      <c r="C332" s="8" t="e">
        <v>#N/A</v>
      </c>
      <c r="D332" s="8" t="e">
        <v>#N/A</v>
      </c>
      <c r="E332" s="8" t="e">
        <v>#N/A</v>
      </c>
      <c r="F332" s="9" t="e">
        <v>#N/A</v>
      </c>
      <c r="G332" s="9" t="e">
        <v>#N/A</v>
      </c>
      <c r="H332" s="10" t="e">
        <v>#N/A</v>
      </c>
      <c r="I332" s="10" t="e">
        <f>VLOOKUP(Tabla1[[#This Row],[Matricula nueva]],'[1]ALTA 20242025'!$B$1:$P$241,15,FALSE)</f>
        <v>#N/A</v>
      </c>
      <c r="J332" s="11" t="e">
        <v>#N/A</v>
      </c>
    </row>
    <row r="333" spans="1:10">
      <c r="A333" s="8" t="e">
        <v>#N/A</v>
      </c>
      <c r="B333" s="8" t="e">
        <v>#N/A</v>
      </c>
      <c r="C333" s="8" t="e">
        <v>#N/A</v>
      </c>
      <c r="D333" s="8" t="e">
        <v>#N/A</v>
      </c>
      <c r="E333" s="8" t="e">
        <v>#N/A</v>
      </c>
      <c r="F333" s="9" t="e">
        <v>#N/A</v>
      </c>
      <c r="G333" s="9" t="e">
        <v>#N/A</v>
      </c>
      <c r="H333" s="10" t="e">
        <v>#N/A</v>
      </c>
      <c r="I333" s="10" t="e">
        <f>VLOOKUP(Tabla1[[#This Row],[Matricula nueva]],'[1]ALTA 20242025'!$B$1:$P$241,15,FALSE)</f>
        <v>#N/A</v>
      </c>
      <c r="J333" s="11" t="e">
        <v>#N/A</v>
      </c>
    </row>
    <row r="334" spans="1:10">
      <c r="A334" s="8" t="e">
        <v>#N/A</v>
      </c>
      <c r="B334" s="8" t="e">
        <v>#N/A</v>
      </c>
      <c r="C334" s="8" t="e">
        <v>#N/A</v>
      </c>
      <c r="D334" s="8" t="e">
        <v>#N/A</v>
      </c>
      <c r="E334" s="8" t="e">
        <v>#N/A</v>
      </c>
      <c r="F334" s="9" t="e">
        <v>#N/A</v>
      </c>
      <c r="G334" s="9" t="e">
        <v>#N/A</v>
      </c>
      <c r="H334" s="10" t="e">
        <v>#N/A</v>
      </c>
      <c r="I334" s="10" t="e">
        <f>VLOOKUP(Tabla1[[#This Row],[Matricula nueva]],'[1]ALTA 20242025'!$B$1:$P$241,15,FALSE)</f>
        <v>#N/A</v>
      </c>
      <c r="J334" s="11" t="e">
        <v>#N/A</v>
      </c>
    </row>
    <row r="335" spans="1:10">
      <c r="A335" s="8" t="e">
        <v>#N/A</v>
      </c>
      <c r="B335" s="8" t="e">
        <v>#N/A</v>
      </c>
      <c r="C335" s="8" t="e">
        <v>#N/A</v>
      </c>
      <c r="D335" s="8" t="e">
        <v>#N/A</v>
      </c>
      <c r="E335" s="8" t="e">
        <v>#N/A</v>
      </c>
      <c r="F335" s="9" t="e">
        <v>#N/A</v>
      </c>
      <c r="G335" s="9" t="e">
        <v>#N/A</v>
      </c>
      <c r="H335" s="10" t="e">
        <v>#N/A</v>
      </c>
      <c r="I335" s="10" t="e">
        <f>VLOOKUP(Tabla1[[#This Row],[Matricula nueva]],'[1]ALTA 20242025'!$B$1:$P$241,15,FALSE)</f>
        <v>#N/A</v>
      </c>
      <c r="J335" s="11" t="e">
        <v>#N/A</v>
      </c>
    </row>
    <row r="336" spans="1:10">
      <c r="A336" s="8" t="e">
        <v>#N/A</v>
      </c>
      <c r="B336" s="8" t="e">
        <v>#N/A</v>
      </c>
      <c r="C336" s="8" t="e">
        <v>#N/A</v>
      </c>
      <c r="D336" s="8" t="e">
        <v>#N/A</v>
      </c>
      <c r="E336" s="8" t="e">
        <v>#N/A</v>
      </c>
      <c r="F336" s="9" t="e">
        <v>#N/A</v>
      </c>
      <c r="G336" s="9" t="e">
        <v>#N/A</v>
      </c>
      <c r="H336" s="10" t="e">
        <v>#N/A</v>
      </c>
      <c r="I336" s="10" t="e">
        <f>VLOOKUP(Tabla1[[#This Row],[Matricula nueva]],'[1]ALTA 20242025'!$B$1:$P$241,15,FALSE)</f>
        <v>#N/A</v>
      </c>
      <c r="J336" s="11" t="e">
        <v>#N/A</v>
      </c>
    </row>
    <row r="337" spans="1:11">
      <c r="A337" s="8" t="e">
        <v>#N/A</v>
      </c>
      <c r="B337" s="8" t="e">
        <v>#N/A</v>
      </c>
      <c r="C337" s="8" t="e">
        <v>#N/A</v>
      </c>
      <c r="D337" s="8" t="e">
        <v>#N/A</v>
      </c>
      <c r="E337" s="8" t="e">
        <v>#N/A</v>
      </c>
      <c r="F337" s="9" t="e">
        <v>#N/A</v>
      </c>
      <c r="G337" s="9" t="e">
        <v>#N/A</v>
      </c>
      <c r="H337" s="10" t="e">
        <v>#N/A</v>
      </c>
      <c r="I337" s="10" t="e">
        <f>VLOOKUP(Tabla1[[#This Row],[Matricula nueva]],'[1]ALTA 20242025'!$B$1:$P$241,15,FALSE)</f>
        <v>#N/A</v>
      </c>
      <c r="J337" s="11" t="e">
        <v>#N/A</v>
      </c>
    </row>
    <row r="338" spans="1:11">
      <c r="A338" s="8" t="e">
        <v>#N/A</v>
      </c>
      <c r="B338" s="8" t="e">
        <v>#N/A</v>
      </c>
      <c r="C338" s="8" t="e">
        <v>#N/A</v>
      </c>
      <c r="D338" s="8" t="e">
        <v>#N/A</v>
      </c>
      <c r="E338" s="8" t="e">
        <v>#N/A</v>
      </c>
      <c r="F338" s="9" t="e">
        <v>#N/A</v>
      </c>
      <c r="G338" s="9" t="e">
        <v>#N/A</v>
      </c>
      <c r="H338" s="10" t="e">
        <v>#N/A</v>
      </c>
      <c r="I338" s="10" t="e">
        <f>VLOOKUP(Tabla1[[#This Row],[Matricula nueva]],'[1]ALTA 20242025'!$B$1:$P$241,15,FALSE)</f>
        <v>#N/A</v>
      </c>
      <c r="J338" s="11" t="e">
        <v>#N/A</v>
      </c>
    </row>
    <row r="339" spans="1:11">
      <c r="A339" s="8" t="e">
        <v>#N/A</v>
      </c>
      <c r="B339" s="8" t="e">
        <v>#N/A</v>
      </c>
      <c r="C339" s="8" t="e">
        <v>#N/A</v>
      </c>
      <c r="D339" s="8" t="e">
        <v>#N/A</v>
      </c>
      <c r="E339" s="8" t="e">
        <v>#N/A</v>
      </c>
      <c r="F339" s="9" t="e">
        <v>#N/A</v>
      </c>
      <c r="G339" s="9" t="e">
        <v>#N/A</v>
      </c>
      <c r="H339" s="10" t="e">
        <v>#N/A</v>
      </c>
      <c r="I339" s="10" t="e">
        <f>VLOOKUP(Tabla1[[#This Row],[Matricula nueva]],'[1]ALTA 20242025'!$B$1:$P$241,15,FALSE)</f>
        <v>#N/A</v>
      </c>
      <c r="J339" s="11" t="e">
        <v>#N/A</v>
      </c>
    </row>
    <row r="340" spans="1:11">
      <c r="A340" s="8" t="e">
        <v>#N/A</v>
      </c>
      <c r="B340" s="8" t="e">
        <v>#N/A</v>
      </c>
      <c r="C340" s="8" t="e">
        <v>#N/A</v>
      </c>
      <c r="D340" s="8" t="e">
        <v>#N/A</v>
      </c>
      <c r="E340" s="8" t="e">
        <v>#N/A</v>
      </c>
      <c r="F340" s="9" t="e">
        <v>#N/A</v>
      </c>
      <c r="G340" s="9" t="e">
        <v>#N/A</v>
      </c>
      <c r="H340" s="10" t="e">
        <v>#N/A</v>
      </c>
      <c r="I340" s="10" t="e">
        <f>VLOOKUP(Tabla1[[#This Row],[Matricula nueva]],'[1]ALTA 20242025'!$B$1:$P$241,15,FALSE)</f>
        <v>#N/A</v>
      </c>
      <c r="J340" s="11" t="e">
        <v>#N/A</v>
      </c>
    </row>
    <row r="341" spans="1:11">
      <c r="A341" s="8" t="e">
        <v>#N/A</v>
      </c>
      <c r="B341" s="8" t="e">
        <v>#N/A</v>
      </c>
      <c r="C341" s="8" t="e">
        <v>#N/A</v>
      </c>
      <c r="D341" s="8" t="e">
        <v>#N/A</v>
      </c>
      <c r="E341" s="8" t="e">
        <v>#N/A</v>
      </c>
      <c r="F341" s="9" t="e">
        <v>#N/A</v>
      </c>
      <c r="G341" s="9" t="e">
        <v>#N/A</v>
      </c>
      <c r="H341" s="10" t="e">
        <v>#N/A</v>
      </c>
      <c r="I341" s="10" t="e">
        <f>VLOOKUP(Tabla1[[#This Row],[Matricula nueva]],'[1]ALTA 20242025'!$B$1:$P$241,15,FALSE)</f>
        <v>#N/A</v>
      </c>
      <c r="J341" s="11" t="e">
        <v>#N/A</v>
      </c>
    </row>
    <row r="342" spans="1:11">
      <c r="A342" s="8" t="e">
        <v>#N/A</v>
      </c>
      <c r="B342" s="8" t="e">
        <v>#N/A</v>
      </c>
      <c r="C342" s="8" t="e">
        <v>#N/A</v>
      </c>
      <c r="D342" s="8" t="e">
        <v>#N/A</v>
      </c>
      <c r="E342" s="8" t="e">
        <v>#N/A</v>
      </c>
      <c r="F342" s="9" t="e">
        <v>#N/A</v>
      </c>
      <c r="G342" s="9" t="e">
        <v>#N/A</v>
      </c>
      <c r="H342" s="10" t="e">
        <v>#N/A</v>
      </c>
      <c r="I342" s="10" t="e">
        <f>VLOOKUP(Tabla1[[#This Row],[Matricula nueva]],'[1]ALTA 20242025'!$B$1:$P$241,15,FALSE)</f>
        <v>#N/A</v>
      </c>
      <c r="J342" s="11" t="e">
        <v>#N/A</v>
      </c>
    </row>
    <row r="343" spans="1:11">
      <c r="A343" s="8" t="e">
        <v>#N/A</v>
      </c>
      <c r="B343" s="8" t="e">
        <v>#N/A</v>
      </c>
      <c r="C343" s="8" t="e">
        <v>#N/A</v>
      </c>
      <c r="D343" s="8" t="e">
        <v>#N/A</v>
      </c>
      <c r="E343" s="8" t="e">
        <v>#N/A</v>
      </c>
      <c r="F343" s="9" t="e">
        <v>#N/A</v>
      </c>
      <c r="G343" s="9" t="e">
        <v>#N/A</v>
      </c>
      <c r="H343" s="10" t="e">
        <v>#N/A</v>
      </c>
      <c r="I343" s="10" t="e">
        <f>VLOOKUP(Tabla1[[#This Row],[Matricula nueva]],'[1]ALTA 20242025'!$B$1:$P$241,15,FALSE)</f>
        <v>#N/A</v>
      </c>
      <c r="J343" s="11" t="e">
        <v>#N/A</v>
      </c>
    </row>
    <row r="344" spans="1:11">
      <c r="A344" s="8" t="e">
        <v>#N/A</v>
      </c>
      <c r="B344" s="8" t="e">
        <v>#N/A</v>
      </c>
      <c r="C344" s="8" t="e">
        <v>#N/A</v>
      </c>
      <c r="D344" s="8" t="e">
        <v>#N/A</v>
      </c>
      <c r="E344" s="8" t="e">
        <v>#N/A</v>
      </c>
      <c r="F344" s="9" t="e">
        <v>#N/A</v>
      </c>
      <c r="G344" s="9" t="e">
        <v>#N/A</v>
      </c>
      <c r="H344" s="10" t="e">
        <v>#N/A</v>
      </c>
      <c r="I344" s="10" t="e">
        <f>VLOOKUP(Tabla1[[#This Row],[Matricula nueva]],'[1]ALTA 20242025'!$B$1:$P$241,15,FALSE)</f>
        <v>#N/A</v>
      </c>
      <c r="J344" s="11" t="e">
        <v>#N/A</v>
      </c>
    </row>
    <row r="345" spans="1:11">
      <c r="A345" s="8" t="e">
        <v>#N/A</v>
      </c>
      <c r="B345" s="8" t="e">
        <v>#N/A</v>
      </c>
      <c r="C345" s="8" t="e">
        <v>#N/A</v>
      </c>
      <c r="D345" s="8" t="e">
        <v>#N/A</v>
      </c>
      <c r="E345" s="8" t="e">
        <v>#N/A</v>
      </c>
      <c r="F345" s="9" t="e">
        <v>#N/A</v>
      </c>
      <c r="G345" s="9" t="e">
        <v>#N/A</v>
      </c>
      <c r="H345" s="10" t="e">
        <v>#N/A</v>
      </c>
      <c r="I345" s="10" t="e">
        <f>VLOOKUP(Tabla1[[#This Row],[Matricula nueva]],'[1]ALTA 20242025'!$B$1:$P$241,15,FALSE)</f>
        <v>#N/A</v>
      </c>
      <c r="J345" s="11" t="e">
        <v>#N/A</v>
      </c>
    </row>
    <row r="346" spans="1:11">
      <c r="A346" s="8" t="e">
        <v>#N/A</v>
      </c>
      <c r="B346" s="8" t="e">
        <v>#N/A</v>
      </c>
      <c r="C346" s="8" t="e">
        <v>#N/A</v>
      </c>
      <c r="D346" s="8" t="e">
        <v>#N/A</v>
      </c>
      <c r="E346" s="8" t="e">
        <v>#N/A</v>
      </c>
      <c r="F346" s="9" t="e">
        <v>#N/A</v>
      </c>
      <c r="G346" s="9" t="e">
        <v>#N/A</v>
      </c>
      <c r="H346" s="10" t="e">
        <v>#N/A</v>
      </c>
      <c r="I346" s="10" t="e">
        <f>VLOOKUP(Tabla1[[#This Row],[Matricula nueva]],'[1]ALTA 20242025'!$B$1:$P$241,15,FALSE)</f>
        <v>#N/A</v>
      </c>
      <c r="J346" s="11" t="e">
        <v>#N/A</v>
      </c>
    </row>
    <row r="347" spans="1:11">
      <c r="A347" s="8" t="e">
        <v>#N/A</v>
      </c>
      <c r="B347" s="8" t="e">
        <v>#N/A</v>
      </c>
      <c r="C347" s="8" t="e">
        <v>#N/A</v>
      </c>
      <c r="D347" s="8" t="e">
        <v>#N/A</v>
      </c>
      <c r="E347" s="8" t="e">
        <v>#N/A</v>
      </c>
      <c r="F347" s="9" t="e">
        <v>#N/A</v>
      </c>
      <c r="G347" s="9" t="e">
        <v>#N/A</v>
      </c>
      <c r="H347" s="10" t="e">
        <v>#N/A</v>
      </c>
      <c r="I347" s="10" t="e">
        <f>VLOOKUP(Tabla1[[#This Row],[Matricula nueva]],'[1]ALTA 20242025'!$B$1:$P$241,15,FALSE)</f>
        <v>#N/A</v>
      </c>
      <c r="J347" s="11" t="e">
        <v>#N/A</v>
      </c>
    </row>
    <row r="348" spans="1:11">
      <c r="A348" s="8" t="e">
        <v>#N/A</v>
      </c>
      <c r="B348" s="8" t="e">
        <v>#N/A</v>
      </c>
      <c r="C348" s="8" t="e">
        <v>#N/A</v>
      </c>
      <c r="D348" s="8" t="e">
        <v>#N/A</v>
      </c>
      <c r="E348" s="8" t="e">
        <v>#N/A</v>
      </c>
      <c r="F348" s="9" t="e">
        <v>#N/A</v>
      </c>
      <c r="G348" s="9" t="e">
        <v>#N/A</v>
      </c>
      <c r="H348" s="10" t="e">
        <v>#N/A</v>
      </c>
      <c r="I348" s="10" t="e">
        <f>VLOOKUP(Tabla1[[#This Row],[Matricula nueva]],'[1]ALTA 20242025'!$B$1:$P$241,15,FALSE)</f>
        <v>#N/A</v>
      </c>
      <c r="J348" s="11" t="e">
        <v>#N/A</v>
      </c>
    </row>
    <row r="349" spans="1:11">
      <c r="A349" s="8" t="e">
        <v>#N/A</v>
      </c>
      <c r="B349" s="8" t="e">
        <v>#N/A</v>
      </c>
      <c r="C349" s="8" t="e">
        <v>#N/A</v>
      </c>
      <c r="D349" s="8" t="e">
        <v>#N/A</v>
      </c>
      <c r="E349" s="8" t="e">
        <v>#N/A</v>
      </c>
      <c r="F349" s="9" t="e">
        <v>#N/A</v>
      </c>
      <c r="G349" s="9" t="e">
        <v>#N/A</v>
      </c>
      <c r="H349" s="10" t="e">
        <v>#N/A</v>
      </c>
      <c r="I349" s="10" t="e">
        <f>VLOOKUP(Tabla1[[#This Row],[Matricula nueva]],'[1]ALTA 20242025'!$B$1:$P$241,15,FALSE)</f>
        <v>#N/A</v>
      </c>
      <c r="J349" s="11" t="e">
        <v>#N/A</v>
      </c>
    </row>
    <row r="350" spans="1:11" ht="15">
      <c r="A350" s="43"/>
      <c r="B350" s="43"/>
      <c r="C350" s="43"/>
      <c r="D350" s="43"/>
      <c r="E350" s="43"/>
      <c r="F350" s="44"/>
      <c r="G350" s="44"/>
      <c r="H350" s="35"/>
      <c r="I350" s="35"/>
      <c r="J350" s="45"/>
      <c r="K350"/>
    </row>
  </sheetData>
  <mergeCells count="1">
    <mergeCell ref="A1:J1"/>
  </mergeCells>
  <pageMargins left="0.7" right="0.7" top="0.75" bottom="0.75" header="0.3" footer="0.3"/>
  <headerFooter>
    <oddFooter>&amp;C_x000D_&amp;1#&amp;"Calibri"&amp;10&amp;K000000 Bureau Veritas Group | C2.1 -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10FB-D77E-463F-A887-F17CEC83B51A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8b12a8-1da8-46a8-abab-97784faf6732">
      <Terms xmlns="http://schemas.microsoft.com/office/infopath/2007/PartnerControls"/>
    </lcf76f155ced4ddcb4097134ff3c332f>
    <TaxCatchAll xmlns="29aba813-7558-4c9f-bdb5-f443033e1e31" xsi:nil="true"/>
    <_ip_UnifiedCompliancePolicyUIAction xmlns="http://schemas.microsoft.com/sharepoint/v3" xsi:nil="true"/>
    <_ip_UnifiedCompliancePolicyProperties xmlns="http://schemas.microsoft.com/sharepoint/v3" xsi:nil="true"/>
    <RecapTraining xmlns="d48b12a8-1da8-46a8-abab-97784faf6732">
      <Url xsi:nil="true"/>
      <Description xsi:nil="true"/>
    </RecapTraining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CCFD1EF76E784A899DE4A3199E72A9" ma:contentTypeVersion="21" ma:contentTypeDescription="Crear nuevo documento." ma:contentTypeScope="" ma:versionID="f9b536cb02d4cc32882abb929860884a">
  <xsd:schema xmlns:xsd="http://www.w3.org/2001/XMLSchema" xmlns:xs="http://www.w3.org/2001/XMLSchema" xmlns:p="http://schemas.microsoft.com/office/2006/metadata/properties" xmlns:ns1="http://schemas.microsoft.com/sharepoint/v3" xmlns:ns2="d48b12a8-1da8-46a8-abab-97784faf6732" xmlns:ns3="29aba813-7558-4c9f-bdb5-f443033e1e31" targetNamespace="http://schemas.microsoft.com/office/2006/metadata/properties" ma:root="true" ma:fieldsID="1f5c6b29879738c8c879593244927650" ns1:_="" ns2:_="" ns3:_="">
    <xsd:import namespace="http://schemas.microsoft.com/sharepoint/v3"/>
    <xsd:import namespace="d48b12a8-1da8-46a8-abab-97784faf6732"/>
    <xsd:import namespace="29aba813-7558-4c9f-bdb5-f443033e1e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RecapTraining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b12a8-1da8-46a8-abab-97784faf6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43a2a1f7-382b-4147-b512-bbba2e6460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RecapTraining" ma:index="26" nillable="true" ma:displayName="Recap Training" ma:description="https://teams.microsoft.com/l/meetingrecap?driveId=b%21DkkFh4jdlkGW-3X8k4rB6oGDupIXYexJgSFhHjfrvpNm8OWOf9StQ5hmtJPsS3wG&amp;driveItemId=01YPFPHVN3IVVTGI2KPBA3J36RVKXQO4J2&amp;sitePath=https%3A%2F%2Factcommodities-my.sharepoint.com%2F%3Av%3A%2Fp%2Fibaso%2FEbtFazMjSnhBtO_Rqq8HcToB5xHpWcY9FdNduG3nOkpv3Q&amp;fileUrl=https%3A%2F%2Factcommodities-my.sharepoint.com%2Fpersonal%2Fibaso_actcommodities_com%2FDocuments%2FOpnamen%2FTRADE%2520RECAP%2520-%2520Trainning-20251022_092133-Meeting%2520Recording.mp4%3Fweb%3D1&amp;iCalUid=040000008200E00074C5B7101A82E00800000000ADC919C7B341DC01000000000000000010000000DD84AA155DD097419033AE9C32BC23D1&amp;threadId=19%3Ameeting_MjY5Zjg3NDItNmU2ZS00ZjY0LTgwZWUtOTA3OGVkNjZmMGI3%40thread.v2&amp;organizerId=752d3670-0d2a-4e82-a769-126f8c4b6c92&amp;tenantId=e30c25ee-7400-479f-ae89-e5d36e23011b&amp;callId=dc686271-0db6-4187-9a33-53272539751f&amp;threadType=Meeting&amp;meetingType=Scheduled&amp;subType=RecapSharingLink_RecapCore" ma:format="Hyperlink" ma:internalName="RecapTrain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ba813-7558-4c9f-bdb5-f443033e1e3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ed7ff8-8534-4714-b26d-3680da6f9d0d}" ma:internalName="TaxCatchAll" ma:showField="CatchAllData" ma:web="29aba813-7558-4c9f-bdb5-f443033e1e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6E207B-8BBD-49A1-8EEA-E8DABB723C56}"/>
</file>

<file path=customXml/itemProps2.xml><?xml version="1.0" encoding="utf-8"?>
<ds:datastoreItem xmlns:ds="http://schemas.openxmlformats.org/officeDocument/2006/customXml" ds:itemID="{71ECAB53-B1AE-4046-9FAD-8A40547B225E}"/>
</file>

<file path=customXml/itemProps3.xml><?xml version="1.0" encoding="utf-8"?>
<ds:datastoreItem xmlns:ds="http://schemas.openxmlformats.org/officeDocument/2006/customXml" ds:itemID="{BA1F21C5-66C0-4E13-B8DA-4D9E62E0B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Miguel Salazar Calderon</dc:creator>
  <cp:keywords/>
  <dc:description/>
  <cp:lastModifiedBy>Alejandro Miguel Salazar Calderon</cp:lastModifiedBy>
  <cp:revision/>
  <dcterms:created xsi:type="dcterms:W3CDTF">2025-10-22T14:23:37Z</dcterms:created>
  <dcterms:modified xsi:type="dcterms:W3CDTF">2025-12-04T07:28:06Z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0x010100E9CCFD1EF76E784A899DE4A3199E72A9</vt:lpwstr>
  </property>
  <property fmtid="{D5CDD505-2E9C-101B-9397-08002B2CF9AE}" pid="3" name="MediaServiceImageTags">
    <vt:lpwstr/>
  </property>
</Properties>
</file>